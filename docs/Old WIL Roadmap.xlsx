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eekly Status" sheetId="1" r:id="rId5"/>
    <sheet state="hidden" name="Copy of Q1 2019" sheetId="2" r:id="rId6"/>
    <sheet state="hidden" name="Q1 2019" sheetId="3" r:id="rId7"/>
    <sheet state="hidden" name="Strategy 2019" sheetId="4" r:id="rId8"/>
    <sheet state="hidden" name="Strategy 2020" sheetId="5" r:id="rId9"/>
    <sheet state="hidden" name="Strat mid 2020" sheetId="6" r:id="rId10"/>
    <sheet state="hidden" name="Q1 2020" sheetId="7" r:id="rId11"/>
    <sheet state="hidden" name="Q3 2020" sheetId="8" r:id="rId12"/>
    <sheet state="hidden" name="Q4 2020" sheetId="9" r:id="rId13"/>
    <sheet state="hidden" name="Q1 2021" sheetId="10" r:id="rId14"/>
    <sheet state="visible" name="Q1 2024" sheetId="11" r:id="rId15"/>
    <sheet state="hidden" name="Q2 2020" sheetId="12" r:id="rId16"/>
  </sheets>
  <definedNames>
    <definedName hidden="1" localSheetId="1" name="_xlnm._FilterDatabase">'Copy of Q1 2019'!$A$1:$M$68</definedName>
    <definedName hidden="1" localSheetId="2" name="_xlnm._FilterDatabase">'Q1 2019'!$A$1:$AH$1</definedName>
    <definedName hidden="1" localSheetId="7" name="_xlnm._FilterDatabase">'Q3 2020'!$A$2:$Y$41</definedName>
    <definedName hidden="1" localSheetId="8" name="_xlnm._FilterDatabase">'Q4 2020'!$A$2:$Z$57</definedName>
    <definedName hidden="1" localSheetId="9" name="_xlnm._FilterDatabase">'Q1 2021'!$A$2:$U$44</definedName>
    <definedName hidden="1" localSheetId="10" name="_xlnm._FilterDatabase">'Q1 2024'!$A$1:$W$32</definedName>
    <definedName hidden="1" localSheetId="11" name="_xlnm._FilterDatabase">'Q2 2020'!$A$1:$P$256</definedName>
    <definedName hidden="1" localSheetId="8" name="Z_7980442E_1377_4278_9173_05DC45F71867_.wvu.FilterData">'Q4 2020'!$A$2:$S$57</definedName>
    <definedName hidden="1" localSheetId="10" name="Z_7980442E_1377_4278_9173_05DC45F71867_.wvu.FilterData">'Q1 2024'!$A$1:$M$74</definedName>
    <definedName hidden="1" localSheetId="9" name="Z_7980442E_1377_4278_9173_05DC45F71867_.wvu.FilterData">'Q1 2021'!$A$2:$N$44</definedName>
    <definedName hidden="1" localSheetId="8" name="Z_C1874CF6_02F4_43E6_A928_067EC5E4A08C_.wvu.FilterData">'Q4 2020'!$I$2:$I$40</definedName>
    <definedName hidden="1" localSheetId="9" name="Z_C1874CF6_02F4_43E6_A928_067EC5E4A08C_.wvu.FilterData">'Q1 2021'!$G$2:$G$30</definedName>
  </definedNames>
  <calcPr/>
  <customWorkbookViews>
    <customWorkbookView activeSheetId="0" maximized="1" windowHeight="0" windowWidth="0" guid="{7980442E-1377-4278-9173-05DC45F71867}" name="JR"/>
    <customWorkbookView activeSheetId="0" maximized="1" windowHeight="0" windowWidth="0" guid="{C1874CF6-02F4-43E6-A928-067EC5E4A08C}"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1 = easiest
5 = hardest</t>
      </text>
    </comment>
    <comment authorId="0" ref="P2">
      <text>
        <t xml:space="preserve">10= very little value
20 = huge impact
need to consider risk and the validity of the assumption</t>
      </text>
    </comment>
    <comment authorId="0" ref="Q2">
      <text>
        <t xml:space="preserve">1 = easiest
5 = hardest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The risk is abandon rates</t>
      </text>
    </comment>
    <comment authorId="0" ref="B28">
      <text>
        <t xml:space="preserve">In Progress</t>
      </text>
    </comment>
    <comment authorId="0" ref="H1">
      <text>
        <t xml:space="preserve">1-15 with 8 being profit neutral and 15 being the most profitable</t>
      </text>
    </comment>
    <comment authorId="0" ref="I1">
      <text>
        <t xml:space="preserve">1-10 with 5 representing no risk change and 10 representing the biggest decrease to our risk levels</t>
      </text>
    </comment>
    <comment authorId="0" ref="J1">
      <text>
        <t xml:space="preserve">1-5 with 5 providing a strategic asset which may be utilized in the future</t>
      </text>
    </comment>
    <comment authorId="0" ref="K1">
      <text>
        <t xml:space="preserve">1-5 with 1 being the least amount of work</t>
      </text>
    </comment>
    <comment authorId="0" ref="F28">
      <text>
        <t xml:space="preserve">Should be lower. Inherit from New Gateway</t>
      </text>
    </comment>
    <comment authorId="0" ref="L1">
      <text>
        <t xml:space="preserve">1-5 with 1 being the least amount of work</t>
      </text>
    </comment>
    <comment authorId="0" ref="I28">
      <text>
        <t xml:space="preserve">Fraudulent sales risk - not willing to use additional affiliate networks</t>
      </text>
    </comment>
    <comment authorId="0" ref="B20">
      <text>
        <t xml:space="preserve">Fix RAs in here</t>
      </text>
    </comment>
    <comment authorId="0" ref="B16">
      <text>
        <t xml:space="preserve">As part of double serve</t>
      </text>
    </comment>
    <comment authorId="0" ref="I20">
      <text>
        <t xml:space="preserve">Realistically, the likely way this would work is if we were more "strict" with refund requestors (multi or single refunds) and then re-apportion those savings back to other high risk groups that are currently not covered</t>
      </text>
    </comment>
    <comment authorId="0" ref="B12">
      <text>
        <t xml:space="preserve">Co-incide with LN</t>
      </text>
    </comment>
    <comment authorId="0" ref="I18">
      <text>
        <t xml:space="preserve">Assumes that better reporting will have a small effect on risk</t>
      </text>
    </comment>
    <comment authorId="0" ref="F14">
      <text>
        <t xml:space="preserve">Should be higher. Inherit from "Data Detectives".</t>
      </text>
    </comment>
    <comment authorId="0" ref="B6">
      <text>
        <t xml:space="preserve">In Progress</t>
      </text>
    </comment>
    <comment authorId="0" ref="I8">
      <text>
        <t xml:space="preserve">This does NOT include SPY</t>
      </text>
    </comment>
    <comment authorId="0" ref="K10">
      <text>
        <t xml:space="preserve">I'm not currently seeing a good data provider for this, but we may be able to create an on-site guide similar to what was done for inmate.</t>
      </text>
    </comment>
    <comment authorId="0" ref="I6">
      <text>
        <t xml:space="preserve">While entering new channels adds risk to the equation, this person's experience should supposedly lower risk. Treating this as risk neutral</t>
      </text>
    </comment>
    <comment authorId="0" ref="K2">
      <text>
        <t xml:space="preserve">Mostly in reporting and Ethoca</t>
      </text>
    </comment>
    <comment authorId="0" ref="L2">
      <text>
        <t xml:space="preserve">Initially more complex, but technically we can sunset entities later on if we want, which would simplify holding structure</t>
      </text>
    </comment>
    <comment authorId="0" ref="B19">
      <text>
        <t xml:space="preserve">Fix RAs in here</t>
      </text>
    </comment>
    <comment authorId="0" ref="F23">
      <text>
        <t xml:space="preserve">Should be higher. Inherit from "Data Detectives".</t>
      </text>
    </comment>
    <comment authorId="0" ref="B17">
      <text>
        <t xml:space="preserve">As part of double serve</t>
      </text>
    </comment>
    <comment authorId="0" ref="B15">
      <text>
        <t xml:space="preserve">Immediate Billing</t>
      </text>
    </comment>
    <comment authorId="0" ref="B13">
      <text>
        <t xml:space="preserve">In Progress</t>
      </text>
    </comment>
    <comment authorId="0" ref="I19">
      <text>
        <t xml:space="preserve">Assumes that better reporting will have a small effect on risk</t>
      </text>
    </comment>
    <comment authorId="0" ref="B11">
      <text>
        <t xml:space="preserve">Co-incide with DD</t>
      </text>
    </comment>
    <comment authorId="0" ref="I13">
      <text>
        <t xml:space="preserve">Revenue Diversification</t>
      </text>
    </comment>
    <comment authorId="0" ref="I11">
      <text>
        <t xml:space="preserve">I assume we can clean the data here enough to handle the lower quality "risk"</t>
      </text>
    </comment>
    <comment authorId="0" ref="F7">
      <text>
        <t xml:space="preserve">Should be higher. Inherit from "Data Detectives".</t>
      </text>
    </comment>
  </commentList>
</comments>
</file>

<file path=xl/sharedStrings.xml><?xml version="1.0" encoding="utf-8"?>
<sst xmlns="http://schemas.openxmlformats.org/spreadsheetml/2006/main" count="3222" uniqueCount="1625">
  <si>
    <t>Strategic Analysis</t>
  </si>
  <si>
    <t>Responsible</t>
  </si>
  <si>
    <t>Description</t>
  </si>
  <si>
    <t>Gitlab Issue</t>
  </si>
  <si>
    <t>Value</t>
  </si>
  <si>
    <t>Effort</t>
  </si>
  <si>
    <t>Effort (calc)</t>
  </si>
  <si>
    <t>Our customer acquisition "success" suggests a big TAM, and we have the platform to acquire lots of customers, relatively inexpensively</t>
  </si>
  <si>
    <t>Total Points</t>
  </si>
  <si>
    <t>Status</t>
  </si>
  <si>
    <t>google said that the big competitors (e.g. Truthfinder, BeenVerified) are spending $100K per day, while the medium ones are spending $50K per day</t>
  </si>
  <si>
    <t>we were unable to acquire customers at $27 immediate billing</t>
  </si>
  <si>
    <t>we had to go black-hat at $1 trial, $29/month (now $39/month)</t>
  </si>
  <si>
    <t>High cancel rates suggest customers are only willing to pay $1 for a single report i.e. they are NOT interested in a subscription product</t>
  </si>
  <si>
    <t xml:space="preserve">combined with our customer acquisition success, that suggests weak value proposition -- customers don't get what we (or our competitors) promise. </t>
  </si>
  <si>
    <t>Sales Site</t>
  </si>
  <si>
    <t>High CB rates suggest we  are  charging too much at $39 (and maybe $29)</t>
  </si>
  <si>
    <t>82CB's @ 2.0% in Oct, 2.4% so far in Nov</t>
  </si>
  <si>
    <t>my gut tells me this is a $9.95 / month product (or more accurately a $9.95 one-time fee)</t>
  </si>
  <si>
    <t>High decline rates suggest we sell to the impulsive, uninformed, lazy i.e. subprime consumers</t>
  </si>
  <si>
    <t>1.1 design with Paul</t>
  </si>
  <si>
    <t>MC</t>
  </si>
  <si>
    <t>Can we introduce subscription features?</t>
  </si>
  <si>
    <t>SUP</t>
  </si>
  <si>
    <t>start</t>
  </si>
  <si>
    <t>Copy what everybody else has done e.g. Spokeo, Truthfinder, etc</t>
  </si>
  <si>
    <t>Content changes</t>
  </si>
  <si>
    <t>Marketing</t>
  </si>
  <si>
    <t>LiC/MC</t>
  </si>
  <si>
    <t>Copy what MyLife has done re: the reputation score of yourself</t>
  </si>
  <si>
    <t>clean up, test $1 trial vs. $1 report</t>
  </si>
  <si>
    <t>Test Flows (Loader, RR, SUP 1 step)</t>
  </si>
  <si>
    <t>LiC</t>
  </si>
  <si>
    <t xml:space="preserve">Add features that are tied to the member's ID e.g. credit score in subscription, upsell credit / ID monitoring. </t>
  </si>
  <si>
    <t>2.0 design with Paul</t>
  </si>
  <si>
    <t>Create a feature where people can report cheaters. How do you verify? Lawsuits? e.g. cheatersfile.com, ratemymates.com</t>
  </si>
  <si>
    <t>all pages</t>
  </si>
  <si>
    <t>Can we generate subprime revenue in other ways?</t>
  </si>
  <si>
    <t xml:space="preserve">Multi-branding </t>
  </si>
  <si>
    <t xml:space="preserve">A good example is BetterFuture.com which generates revenue as lead gen to employers (since job-seekers often do background checks, on themselves). See https://www.entrepreneur.com/article/319647. </t>
  </si>
  <si>
    <t>Background Checkers - jobs</t>
  </si>
  <si>
    <t>PrivateRecords</t>
  </si>
  <si>
    <t>New channels</t>
  </si>
  <si>
    <t>Criminal / Arrest / Jail Records, Background Checks</t>
  </si>
  <si>
    <t>Cheating - report on cheaters? Ad supported?</t>
  </si>
  <si>
    <t xml:space="preserve">People Search - private investigators? lawyers? </t>
  </si>
  <si>
    <t>PeopleSearcher</t>
  </si>
  <si>
    <t>People Locate, Reverse Phone SEO</t>
  </si>
  <si>
    <t>Inmate Search - bail bondsmen?</t>
  </si>
  <si>
    <t>SearchPublic</t>
  </si>
  <si>
    <t>Public Records, Court / Police Records</t>
  </si>
  <si>
    <t>Criminal Backgroud - ?</t>
  </si>
  <si>
    <t>Media</t>
  </si>
  <si>
    <t>TruthViewer</t>
  </si>
  <si>
    <t>Or just  assume subprime consumers like credit repair, credit cards, cheap homes, etc</t>
  </si>
  <si>
    <t>Cheating, Online Dating, Reviews site (background checks, SEO)</t>
  </si>
  <si>
    <t>Bing</t>
  </si>
  <si>
    <t xml:space="preserve">how many emails do we capture? 10% of visitors = 450 per day = 13.5K per month </t>
  </si>
  <si>
    <t>Conf Modal</t>
  </si>
  <si>
    <t>small %, according to Peoplefinders</t>
  </si>
  <si>
    <t>Can we manage chargebacks?</t>
  </si>
  <si>
    <t>conf+SSI (pdf download, target monitor/updates, target upgrade)</t>
  </si>
  <si>
    <t>Marketing campaigns</t>
  </si>
  <si>
    <t>CB Ratios are very high (compare vs. USGA)</t>
  </si>
  <si>
    <t>Upsells</t>
  </si>
  <si>
    <t>VMPI, trans adders?</t>
  </si>
  <si>
    <t>need ID protect, credit monitoring, Advertising, target upgrade</t>
  </si>
  <si>
    <t>How have we performed?</t>
  </si>
  <si>
    <t>Pixels setup on Partner end</t>
  </si>
  <si>
    <t>Considering so few resources P/T, we've done well</t>
  </si>
  <si>
    <t>Price Testing ($39, Quarterly, etc)</t>
  </si>
  <si>
    <t>Pixels setup on Envyus/PeopleFinder / Spokeo</t>
  </si>
  <si>
    <t>Pixels setup on Spokeo</t>
  </si>
  <si>
    <t>Need 3DS, Retry Optimization</t>
  </si>
  <si>
    <t>We've created a good platform, but still missing many features</t>
  </si>
  <si>
    <t>done</t>
  </si>
  <si>
    <t>Adwords optimization</t>
  </si>
  <si>
    <t>Remarketing Sources</t>
  </si>
  <si>
    <t>We are good operationally, but not great (UXC flexibility, mistakes, reporting, uptime)</t>
  </si>
  <si>
    <t>LiC/LaC</t>
  </si>
  <si>
    <t>review lessons learned from google TV campaign (for PR)</t>
  </si>
  <si>
    <t>Email optimization, BA, SMS</t>
  </si>
  <si>
    <t>We have created a poor UX (product, customer service, aggressive billing)</t>
  </si>
  <si>
    <t>Billing and CB's</t>
  </si>
  <si>
    <t>sales site changes for campaigns (MC)</t>
  </si>
  <si>
    <t>Strategic Options</t>
  </si>
  <si>
    <t>S1 Upload</t>
  </si>
  <si>
    <t>image -&gt; UXC Set mapping</t>
  </si>
  <si>
    <t>Improve the current business</t>
  </si>
  <si>
    <t>remarketing (MC)</t>
  </si>
  <si>
    <t>3DS</t>
  </si>
  <si>
    <t>Better traffic quality (search rate)</t>
  </si>
  <si>
    <t>LiC/IT</t>
  </si>
  <si>
    <t>failed</t>
  </si>
  <si>
    <t>VMPI</t>
  </si>
  <si>
    <t>Retry Optimization</t>
  </si>
  <si>
    <t>Broad Modified test and Broad test</t>
  </si>
  <si>
    <t>Items like retry in morning, best days to retry, etc</t>
  </si>
  <si>
    <t>End broad test</t>
  </si>
  <si>
    <t>Envyus payment?</t>
  </si>
  <si>
    <t>MIDs / Signatures</t>
  </si>
  <si>
    <t>Background Check, Public Record, competitors campaigns (new way to start)</t>
  </si>
  <si>
    <t>needed after Multi-branding</t>
  </si>
  <si>
    <t>Background Check, Public Record, Phone, competitors campaigns (new way to start)</t>
  </si>
  <si>
    <t>Requires investment (annually)</t>
  </si>
  <si>
    <t>Background Check, Public Record, Phone (new way to start)</t>
  </si>
  <si>
    <t>Downselling</t>
  </si>
  <si>
    <t>Envyus</t>
  </si>
  <si>
    <t>CSR % discount or straight dollar</t>
  </si>
  <si>
    <t>new campaigns - Background, Public, Compet status</t>
  </si>
  <si>
    <t>SCORE</t>
  </si>
  <si>
    <t>VALUE</t>
  </si>
  <si>
    <t>EFFORT</t>
  </si>
  <si>
    <t>new campaigns - Background, Public, Compet status. Provide skelton info</t>
  </si>
  <si>
    <t>HIre Prod Mgr = $100K - 150K, Engineer(s) = $100K, 2x CSRs = $50K</t>
  </si>
  <si>
    <t>Member Site</t>
  </si>
  <si>
    <t>Incent channels</t>
  </si>
  <si>
    <t>Reverse Phone Lookup</t>
  </si>
  <si>
    <t>not started</t>
  </si>
  <si>
    <t>n/a</t>
  </si>
  <si>
    <t>Product = $100K for data, hosting</t>
  </si>
  <si>
    <t>Real Time Monitoring+PDF</t>
  </si>
  <si>
    <t>Enformion?</t>
  </si>
  <si>
    <t>Sex Offender</t>
  </si>
  <si>
    <t>Experian</t>
  </si>
  <si>
    <t>Display</t>
  </si>
  <si>
    <t>Unclaimed Funds</t>
  </si>
  <si>
    <t>scrape</t>
  </si>
  <si>
    <t>50% chance this will be successful</t>
  </si>
  <si>
    <t>ID Protect</t>
  </si>
  <si>
    <t>ID Insurance</t>
  </si>
  <si>
    <t>Property Data</t>
  </si>
  <si>
    <t>If successful, transition to full time</t>
  </si>
  <si>
    <t>Atom / Corelogic / Enformion</t>
  </si>
  <si>
    <t>Remkt (email)</t>
  </si>
  <si>
    <t>Social</t>
  </si>
  <si>
    <t>Remarketing analysis - # of days since EO Capture; retention</t>
  </si>
  <si>
    <t>scrape / Experian</t>
  </si>
  <si>
    <t>Free Membership</t>
  </si>
  <si>
    <t>need Advertising</t>
  </si>
  <si>
    <t>demographic analysis</t>
  </si>
  <si>
    <t>Phone, Inmate, Sex Offender campaigns (spin off)</t>
  </si>
  <si>
    <t>do we transition to full time NOW i.e. is it chicken-and-egg where we need to go full time to make the business succeed?</t>
  </si>
  <si>
    <t>wip</t>
  </si>
  <si>
    <t>Inmate, Sex Offender campaigns (spin off)</t>
  </si>
  <si>
    <t>Credit Score</t>
  </si>
  <si>
    <t>SUP copy for different campaigns</t>
  </si>
  <si>
    <t>problem campaigns - update Monday (see DAR comment)</t>
  </si>
  <si>
    <t>Mobile App</t>
  </si>
  <si>
    <t>started</t>
  </si>
  <si>
    <t>pull retention data by adgroup ID (since UXC data does not appear consistent)</t>
  </si>
  <si>
    <t>Report on Cheaters</t>
  </si>
  <si>
    <t>Facebook</t>
  </si>
  <si>
    <t>Peoplefinders has not done this</t>
  </si>
  <si>
    <t>slowly increase Inmate</t>
  </si>
  <si>
    <t>https://www.searchenginejournal.com/google-introduces-new-search-engine-for-finding-datasets/268337/</t>
  </si>
  <si>
    <t>Shut down the current business</t>
  </si>
  <si>
    <t>Go back to old jobs and integrate in to the old platform</t>
  </si>
  <si>
    <t>Cut our losses, Investor loses initial investment of $440K minus tail</t>
  </si>
  <si>
    <t>Make it a side-business</t>
  </si>
  <si>
    <t>Spend 10 hours / week, Keep your full time job</t>
  </si>
  <si>
    <t>Reactivate paused campaigns</t>
  </si>
  <si>
    <t>Make a little extra money</t>
  </si>
  <si>
    <t>Arrests, Jail, Court, Crim, etc using ROAS in account #3</t>
  </si>
  <si>
    <t>Send email to product. need # of UXC, special config needed (headlines?), variables to store needed and product will send back full url</t>
  </si>
  <si>
    <t>Start New Business (shut down the current business)</t>
  </si>
  <si>
    <t>write short copy for C</t>
  </si>
  <si>
    <t>See ideas below for New business - only 1 that has been considered is Wellness Pro (need more ideas)</t>
  </si>
  <si>
    <t>&lt;-- done</t>
  </si>
  <si>
    <t>Urls for Spokeo</t>
  </si>
  <si>
    <t>Urls for PeopleFInder/BeenVerified</t>
  </si>
  <si>
    <t>Requires investment</t>
  </si>
  <si>
    <t>affiliate id for PF</t>
  </si>
  <si>
    <t>Hiring = CEO, branding, others = $500K</t>
  </si>
  <si>
    <t>Hard to do tests if CR is so low. Switch search to SV? 0.38% -&gt; 1.07% CR?</t>
  </si>
  <si>
    <t>set up goals for Search</t>
  </si>
  <si>
    <t>Marketing = $2M</t>
  </si>
  <si>
    <t>Campaign optimization</t>
  </si>
  <si>
    <t>Restarts the clock on freedom.</t>
  </si>
  <si>
    <t>Pub Rec</t>
  </si>
  <si>
    <t>why is google disapproved our ads; optimize mobile campaign</t>
  </si>
  <si>
    <t>google restarted on saturday</t>
  </si>
  <si>
    <t>25% chance new business will be successful.</t>
  </si>
  <si>
    <t>figure out what campaigns need to be setup and get UXC setup for it</t>
  </si>
  <si>
    <t>Do we need to go full time to give this a chance of succeeding?</t>
  </si>
  <si>
    <t>Advertising</t>
  </si>
  <si>
    <t>try gray images of faces</t>
  </si>
  <si>
    <t>Worth considering if you don't believe in the current business</t>
  </si>
  <si>
    <t>retargeting (LC)</t>
  </si>
  <si>
    <t>Adsense</t>
  </si>
  <si>
    <t>Figure out other categories (people search, public records)</t>
  </si>
  <si>
    <t>New business + Side business (current)</t>
  </si>
  <si>
    <t>LaC</t>
  </si>
  <si>
    <t>increase TV budget to compare vs. spyfly, and since PR is break even</t>
  </si>
  <si>
    <t>RTO</t>
  </si>
  <si>
    <t>New campaigns</t>
  </si>
  <si>
    <t>MC/LaC</t>
  </si>
  <si>
    <t>Compet. Peoplefinders suggested online dating, (cheaper CPCs than "Background")</t>
  </si>
  <si>
    <t>comments strategy</t>
  </si>
  <si>
    <t>Foreclosure</t>
  </si>
  <si>
    <t>check extensions for all adgroups/campaigns</t>
  </si>
  <si>
    <t>competitor campaigns - no copy customization yet (uses People Search copy)</t>
  </si>
  <si>
    <t>Credit Repair</t>
  </si>
  <si>
    <t>Would require new investment to start new business (see above)</t>
  </si>
  <si>
    <t>Pipl 3rd party sponsored links. API returns sponsored links for other data consumers to use. ICM is a sponsored link...</t>
  </si>
  <si>
    <t>Credit Card</t>
  </si>
  <si>
    <t>Pipl 3rd party sponsored links. API returns sponsored links for other data consumers to use. ICM and BV are sponsored links...</t>
  </si>
  <si>
    <t>Demographic targeting</t>
  </si>
  <si>
    <t>Create demo-specific campaigns (assuming different demos have different LTV)</t>
  </si>
  <si>
    <t>Home Security</t>
  </si>
  <si>
    <t>Might get lucky with current, side-business = 10%</t>
  </si>
  <si>
    <t>IT</t>
  </si>
  <si>
    <t>Performance</t>
  </si>
  <si>
    <t>Bid strategy</t>
  </si>
  <si>
    <t>After POC, before scaling, determine storage colo vs cloud -- NV? 15K clicks OK</t>
  </si>
  <si>
    <t>Uptime</t>
  </si>
  <si>
    <t>Reduces chance of new business succeeding (assume 80/20 split in our work effort)</t>
  </si>
  <si>
    <t>Applied for EnvyUS campaigns, waiting on response</t>
  </si>
  <si>
    <t>Reporting</t>
  </si>
  <si>
    <t>Anything interesting from LV?</t>
  </si>
  <si>
    <t>Url for PeopleFinder / Spokeo</t>
  </si>
  <si>
    <t>Url for Spokeo</t>
  </si>
  <si>
    <t>ROAS</t>
  </si>
  <si>
    <t>Retention</t>
  </si>
  <si>
    <t>targets high retention users. Try on CrimBG, PplSrch</t>
  </si>
  <si>
    <t>This is both driving enough traffic to analyze and analyzing</t>
  </si>
  <si>
    <t>go visit Spokeo</t>
  </si>
  <si>
    <t>Requires more effort on our part</t>
  </si>
  <si>
    <t>BI Tool</t>
  </si>
  <si>
    <t>push notification (LC)</t>
  </si>
  <si>
    <t>Customer Service</t>
  </si>
  <si>
    <t>Do we need to leave current roles?</t>
  </si>
  <si>
    <t>Increase CM budget to see if test #1 and #2 $1 is working</t>
  </si>
  <si>
    <t>CSR App</t>
  </si>
  <si>
    <t>2nd adwords account</t>
  </si>
  <si>
    <t>Target CPA vs. Max CPC?</t>
  </si>
  <si>
    <t>we will spend max amount  (vs. guessing now).  Try on Inmate, BG</t>
  </si>
  <si>
    <t>analyze keywords that were re-added "free", "phone", etc</t>
  </si>
  <si>
    <t>Hire CSR #1</t>
  </si>
  <si>
    <t>"criminal background" adgroup / campaign</t>
  </si>
  <si>
    <t>Hire CSR #2</t>
  </si>
  <si>
    <t>Improve Current Business and Start New business</t>
  </si>
  <si>
    <t>device type analysis</t>
  </si>
  <si>
    <t>People Search + Credit Score + Lead Gen</t>
  </si>
  <si>
    <t>try Manual CPC (for retention)?</t>
  </si>
  <si>
    <t>eliminates targeting of low retention users (theory). Try on paused campaigns</t>
  </si>
  <si>
    <t>Would require biggest investment (new + current)</t>
  </si>
  <si>
    <t>Hiring = $850K</t>
  </si>
  <si>
    <t>Writing copy for mobile A-C</t>
  </si>
  <si>
    <t>Annotate notes into GA so you can see how it impacts CR</t>
  </si>
  <si>
    <t>Notes plan = GA, DAR/Adwords</t>
  </si>
  <si>
    <t>test bing</t>
  </si>
  <si>
    <t>decide on PR conversion points</t>
  </si>
  <si>
    <t>www.onesignal.com</t>
  </si>
  <si>
    <t>Making a big bet</t>
  </si>
  <si>
    <t>ask google about structure for 200M unique names "mark Chin"</t>
  </si>
  <si>
    <t>casX (MC)</t>
  </si>
  <si>
    <t>requires leaving old jobs</t>
  </si>
  <si>
    <t>google contact</t>
  </si>
  <si>
    <t>Add in 1M names to Nationwide and stop CA campaigns</t>
  </si>
  <si>
    <t>review negative keywords (outside Standard)</t>
  </si>
  <si>
    <t>$1 ads vs. no $1 ads</t>
  </si>
  <si>
    <t>demographic investigation</t>
  </si>
  <si>
    <t>worth considering if you trust what has been accomplished so far</t>
  </si>
  <si>
    <t>demographic investigation - need to consider LTV</t>
  </si>
  <si>
    <t>demographic investigation - need to consider LTV utm_demo=25_35 (google term)</t>
  </si>
  <si>
    <t>tag everyone as utm_demo</t>
  </si>
  <si>
    <r>
      <rPr>
        <rFont val="Calibri"/>
        <color rgb="FF999999"/>
        <sz val="8.0"/>
      </rPr>
      <t xml:space="preserve">Testing moving backwards in time to various changes to see if retention gets fixed (rollback, pricing, marketing, what order? and more importantly </t>
    </r>
    <r>
      <rPr>
        <rFont val="Calibri"/>
        <b/>
        <color rgb="FF999999"/>
        <sz val="8.0"/>
      </rPr>
      <t>do they interact?</t>
    </r>
    <r>
      <rPr>
        <rFont val="Calibri"/>
        <color rgb="FF999999"/>
        <sz val="8.0"/>
      </rPr>
      <t>)</t>
    </r>
  </si>
  <si>
    <t>Consensus Plan</t>
  </si>
  <si>
    <t>testing backwards marketing-&gt;pricing-&gt;rollback</t>
  </si>
  <si>
    <t>Conserve cash</t>
  </si>
  <si>
    <t>pause unprofitable campaigns</t>
  </si>
  <si>
    <t>lower Target CPA's on unprofitable campaigns</t>
  </si>
  <si>
    <t>Interactive SUP</t>
  </si>
  <si>
    <t>works for BG, but not for Sex; try on CrimBG, Ppl, Court, PubRec; try 1-step</t>
  </si>
  <si>
    <t>clean up campaigns</t>
  </si>
  <si>
    <t>start preparing PR campaign - selecting products to focus on; figure out how to get keyword into ad dynamically (people search for lionel chin)</t>
  </si>
  <si>
    <t>start preparing PR campaign - selecting products to focus on</t>
  </si>
  <si>
    <t>ask google - pixels and personal name keyword insertion</t>
  </si>
  <si>
    <t>negative age group</t>
  </si>
  <si>
    <t>Checkout Page</t>
  </si>
  <si>
    <t>SUP that simply takes the order (PII, cc form) without any selling (the assumption is that the users are ready to buy since they got through a very long sales funnel)</t>
  </si>
  <si>
    <t>changing automated campaign budgets, cpa targets</t>
  </si>
  <si>
    <t>server and CSR capacity constraints</t>
  </si>
  <si>
    <t>pull google costs automatically via API so the DAR is automatic
https://developers.google.com/adwords/api/docs/guides/start</t>
  </si>
  <si>
    <t>add cpa target experiment (LocateX), add utm_demo parameters (utm_demo=cpa_30). Need to set UTM for all campaigns</t>
  </si>
  <si>
    <t>Prepaid cards</t>
  </si>
  <si>
    <t>refuse prepaid cards, ask for alternative card</t>
  </si>
  <si>
    <t>https://gitlab.mc2data.com/root/Dev/issues/67</t>
  </si>
  <si>
    <t>Small Ideas</t>
  </si>
  <si>
    <t>$3.95 for trial, then $39.95 per month</t>
  </si>
  <si>
    <t>use Google Maps on SUP</t>
  </si>
  <si>
    <t>Fake Freemium model</t>
  </si>
  <si>
    <t>SRP provides teaser = name, age</t>
  </si>
  <si>
    <t>Will do banners when needed</t>
  </si>
  <si>
    <t>Step 1 asks user to create account, with no silouhette</t>
  </si>
  <si>
    <t>completing Step 1 moves to Step 2, which provides the FREE report = DOB, AKA, relatives, all locations, sex offender. Make this big. Then have heavy promotion for hidden sections, asking for credit card</t>
  </si>
  <si>
    <t>Member Site shows Premium Report</t>
  </si>
  <si>
    <t>Fixing high bounce rates</t>
  </si>
  <si>
    <t>Confirm GA is main reporting tool</t>
  </si>
  <si>
    <t>could the market just have high bounce rates? Maybe users are expecting to see a government website or actual public records, and not a commercial website. That suggests we need to change the ad copy and bring in more qualified traffic</t>
  </si>
  <si>
    <t>complete TV campaign for google adwords</t>
  </si>
  <si>
    <t>In that case we need to really focus on Remarketing. CasX campaigns, Retarketing for Google, Remarketing for email, Browser Alerts</t>
  </si>
  <si>
    <t>test retargeting</t>
  </si>
  <si>
    <t>Reverse Phone as a feeder to remarketing</t>
  </si>
  <si>
    <t>starting with only search, waiting on display/retargeting/remarketing</t>
  </si>
  <si>
    <t>New Sales Site - do we have a sales site with no teaser</t>
  </si>
  <si>
    <t>sequence of marketing = google search, bing search, google display/remarketing, yahoo, envyus, facebook</t>
  </si>
  <si>
    <t>copy changes for PR LP's</t>
  </si>
  <si>
    <t>Default SRP - celebrities in their IP geo</t>
  </si>
  <si>
    <t>configure new LP images</t>
  </si>
  <si>
    <t>Price / Offer Testing</t>
  </si>
  <si>
    <t>Sign up page - Users are hitting the view report button without entering credit cards. That's because they waited so long that they believe the reports is there's and they have a right to it, and they're just hoping that clicking the green button will get them the report. We do not tell them explicitly that they have to pay to view the report. Copy needed to tell them that.</t>
  </si>
  <si>
    <t>try People and Public campaigns after site is "done" (1 week)</t>
  </si>
  <si>
    <t>Do what the credit score companies do, Market the credit score as free with the purchase of a monitoring continuiti monthly membership. So we will sell the first report for $4.95, with the purchase of a unlimited membership that is $27.78 per month. Will have to write the disclosure very carefully, and have to get 3 DS working</t>
  </si>
  <si>
    <t>automated bidding</t>
  </si>
  <si>
    <t>conversion = S1%</t>
  </si>
  <si>
    <t>Trial</t>
  </si>
  <si>
    <t>$9.95 trial, 50% off $29 monthly price</t>
  </si>
  <si>
    <r>
      <rPr>
        <rFont val="Calibri"/>
        <b/>
        <color rgb="FF999999"/>
        <sz val="8.0"/>
        <u/>
      </rPr>
      <t>Sales planning</t>
    </r>
    <r>
      <rPr>
        <rFont val="Calibri"/>
        <color rgb="FF999999"/>
        <sz val="8.0"/>
      </rPr>
      <t>. Do we slow down sales where we will know LTV soon enough and increase sales where we want to find out? (assuming CPA is now known)</t>
    </r>
  </si>
  <si>
    <r>
      <rPr>
        <rFont val="Calibri"/>
        <b/>
        <color rgb="FF999999"/>
        <sz val="8.0"/>
        <u/>
      </rPr>
      <t>Sales planning</t>
    </r>
    <r>
      <rPr>
        <rFont val="Calibri"/>
        <color rgb="FF999999"/>
        <sz val="8.0"/>
      </rPr>
      <t>. keep sales at 100 S0/day</t>
    </r>
  </si>
  <si>
    <t>check for display "pay for conversion" option</t>
  </si>
  <si>
    <t>5-day trial</t>
  </si>
  <si>
    <t>Monthly</t>
  </si>
  <si>
    <t>$29 vs $39 vs $19. Currently waiting for $29 vs. $39 split test data to age, but we do have all of Pub Rec @ $29</t>
  </si>
  <si>
    <t>sex offender data set - ask CSID</t>
  </si>
  <si>
    <t>Adsense - research</t>
  </si>
  <si>
    <t>mini conversion tracking?</t>
  </si>
  <si>
    <t>attribution model</t>
  </si>
  <si>
    <t>Immediate Billing</t>
  </si>
  <si>
    <t>CPC change day to day</t>
  </si>
  <si>
    <t>with LTV's so low, would it be better to do 1-time report fees, with heavy email marketing to get people to buy additional reports. This is the "right way" to sell reports</t>
  </si>
  <si>
    <t>Remarketing for Inmate and Sex - which UXC's (3x versions)</t>
  </si>
  <si>
    <t>Assuming some CSR coverage this weekend is set, ok to scale to 150 S0/day assuming no cash flow constraint</t>
  </si>
  <si>
    <t>set up conversion tracking for 2 other google accounts - Secondary and Tertiary</t>
  </si>
  <si>
    <t>PeopleFinders</t>
  </si>
  <si>
    <t>cancellation fee of $3.95 if cancel in trial, 3 price-points: monthly, 3 month (paid upfront) and single report. With single, have an upsell (in their account, pop up offer or email offer) into a monthly (ours is 50% off 1st month). Need to wait on UPSELLS</t>
  </si>
  <si>
    <t>https://gitlab.mc2data.com/root/Dev/issues/115</t>
  </si>
  <si>
    <t>Ops</t>
  </si>
  <si>
    <t>waiting</t>
  </si>
  <si>
    <t>Spokeo</t>
  </si>
  <si>
    <t>copy Spokeo and others = $1 report + free trial membership ($29/mo)</t>
  </si>
  <si>
    <t>Verifi Dispute Questionaire</t>
  </si>
  <si>
    <t>CB emails from Qualpay - send to gmail? 2 or 3 CB's?</t>
  </si>
  <si>
    <t>3DS qualpay</t>
  </si>
  <si>
    <t>3DS qualpay (nsoft+QP)</t>
  </si>
  <si>
    <t>Test Flows</t>
  </si>
  <si>
    <t>Get V/MC certs for 3DS</t>
  </si>
  <si>
    <t>copy competitors (must have tested)</t>
  </si>
  <si>
    <t>Get V cert for 3DS</t>
  </si>
  <si>
    <t>tracking is not perfect. Compare emails vs. DAR</t>
  </si>
  <si>
    <t>Hire CSR?</t>
  </si>
  <si>
    <t>CSR Job Posting. stop posting</t>
  </si>
  <si>
    <t>Loader</t>
  </si>
  <si>
    <t>Chase newsletter re: 3DS?</t>
  </si>
  <si>
    <t>Are CSRs all paid?</t>
  </si>
  <si>
    <t>Interactive SUP Test plan</t>
  </si>
  <si>
    <t>RR</t>
  </si>
  <si>
    <t>initially goes to 1 member site?</t>
  </si>
  <si>
    <t>CSR App access</t>
  </si>
  <si>
    <t>how to exclude "bad" signups due to CSR and billing errors - 5/25 - 5/29</t>
  </si>
  <si>
    <t>Find a hourly CSR</t>
  </si>
  <si>
    <t>Find CSR (send w3bstore the UX)</t>
  </si>
  <si>
    <t>PrivateRecords.net</t>
  </si>
  <si>
    <t>CSR Training and will start tomorrow</t>
  </si>
  <si>
    <t>Chromebook+mic for CSR?
Is this supported? It is supported by freshcaller</t>
  </si>
  <si>
    <t>discrepancy between adwords tracking and our d/b is  growing</t>
  </si>
  <si>
    <t>retention problems - 1) Mkt - google ads (KW, ad, demo, cpa -&gt; position, cpc), device type, 2) price, cancels, 3) Billing - CPD, billing error mix, 3DS,  4) code 5) Merchant Processor</t>
  </si>
  <si>
    <t>PeopleSearcher.com</t>
  </si>
  <si>
    <t>People Locate, Reverse Phone, SEO</t>
  </si>
  <si>
    <t>Change settlement email to mc2data@gmail.com</t>
  </si>
  <si>
    <t>Data Dictionary</t>
  </si>
  <si>
    <t>Refund App</t>
  </si>
  <si>
    <t>Refund App code</t>
  </si>
  <si>
    <t>Refund App setup</t>
  </si>
  <si>
    <t>PeopleSearch123.com</t>
  </si>
  <si>
    <t>BackgroundCheckers.net</t>
  </si>
  <si>
    <t>Customer believes $27 + $1 charge</t>
  </si>
  <si>
    <t>2D vs. 7D results?</t>
  </si>
  <si>
    <t>2D vs. 7D results? -&gt; need to restart since CM and LC should be looked @ diff</t>
  </si>
  <si>
    <t>Coordinate CSR only 1 for 25 hr/week</t>
  </si>
  <si>
    <t>manual upload of S0</t>
  </si>
  <si>
    <t>3DS Dropped. https://prnt.sc/l4y026
not error codes https://prnt.sc/l4xvha
b/c smaller banks https://prnt.sc/l4y5wu
fyi wfc has terrible prot % https://prnt.sc/l4yr86</t>
  </si>
  <si>
    <t>TruthViewer.com</t>
  </si>
  <si>
    <t>First CB</t>
  </si>
  <si>
    <t>more accurate GA tracking - what kind of analysis can we do now?</t>
  </si>
  <si>
    <t>Pricing test once 3DS launches (LTV margin is low)</t>
  </si>
  <si>
    <t>Pricing test $39.90 once 3DS launches and features (LTV margin is low) AND no welcome message on login</t>
  </si>
  <si>
    <t>retention analysis vs USGA and error code analysis vs USGA for S1.0</t>
  </si>
  <si>
    <t>Retention and CB's</t>
  </si>
  <si>
    <t>Retention / LTV</t>
  </si>
  <si>
    <t>retention metrics</t>
  </si>
  <si>
    <t>retention metrics - especially remarketing</t>
  </si>
  <si>
    <t>weekly retention report</t>
  </si>
  <si>
    <t>Confirmed traffic looks normal after d/b changes. Good CR rate day masks if there are any issues but waterfall/javascript errors looks ok</t>
  </si>
  <si>
    <t>Cancel UX for retention</t>
  </si>
  <si>
    <t>don't prevent C0's yet</t>
  </si>
  <si>
    <t>https://gitlab.mc2data.com/root/Dev/issues/110</t>
  </si>
  <si>
    <t>Billing - daily settlements are not increasing as expected. LiC/LaC look into billing.</t>
  </si>
  <si>
    <t xml:space="preserve">Retry Optimization </t>
  </si>
  <si>
    <t>retry and billing policy by CPD</t>
  </si>
  <si>
    <t>Upsells / Conf Modal</t>
  </si>
  <si>
    <t>conf+SSI (pdf download, target monitor/updates, target upgrade); show only a subset of comprehensive report so we can upsell the rest; need ID protect, credit monitoring, Advertising, target upgrade</t>
  </si>
  <si>
    <t>bounce rate analysis</t>
  </si>
  <si>
    <t>bounce rate analysis - by UXC</t>
  </si>
  <si>
    <t>does bank care about trial and price change?</t>
  </si>
  <si>
    <t>Ensure MDF4 bug not causing problems in billing, retention forecasts</t>
  </si>
  <si>
    <t>https://gitlab.mc2data.com/root/Dev/issues/116</t>
  </si>
  <si>
    <t>Account Updater</t>
  </si>
  <si>
    <t>Chase merchant statement</t>
  </si>
  <si>
    <t>setup chase MID</t>
  </si>
  <si>
    <t>setup chase MID - call Joncarlo</t>
  </si>
  <si>
    <t>Setting up Chase MID</t>
  </si>
  <si>
    <t>Chargebacks</t>
  </si>
  <si>
    <t>Setting up Chase MID almost done once LaC checks settled descriptor. Ramp transactions on there</t>
  </si>
  <si>
    <t>Marketing getting low CPA's, with about 200 sales / day</t>
  </si>
  <si>
    <t>Retention is low at 37%, but has gotten lower recently. Unpredictable</t>
  </si>
  <si>
    <t>Business is barely break-even, but that does NOT count salaries</t>
  </si>
  <si>
    <t>What have we learned?</t>
  </si>
  <si>
    <t>Would be unprofitable with full headcount and overhead</t>
  </si>
  <si>
    <t>We can survive, succeed in this space</t>
  </si>
  <si>
    <t>Can we become a tier 2 player (PeopleFinders, which is 15x our size) or a tier 1 player (BeenVerified, which is 80x our size)?</t>
  </si>
  <si>
    <t>Next Steps</t>
  </si>
  <si>
    <t>Need to know if this is a viable business or not (asap)</t>
  </si>
  <si>
    <t>Strategy</t>
  </si>
  <si>
    <t>We are 2.5 years in to the business</t>
  </si>
  <si>
    <t>Dominate Subprime People Search space</t>
  </si>
  <si>
    <t>much slower than expected</t>
  </si>
  <si>
    <t>a space that the big competitors don't seem to address</t>
  </si>
  <si>
    <t>Success in People Search is ??? (I think 33%)</t>
  </si>
  <si>
    <t>we know it well, and the momentum we have now is for the subprime</t>
  </si>
  <si>
    <t>is that due to us? or the market?</t>
  </si>
  <si>
    <t>Security Metrics new PCI requirements (TLS 1.1)</t>
  </si>
  <si>
    <t>New Who</t>
  </si>
  <si>
    <t>we haven't tried to improve product</t>
  </si>
  <si>
    <t>MIDs backup</t>
  </si>
  <si>
    <t>Who</t>
  </si>
  <si>
    <t>Function</t>
  </si>
  <si>
    <t>need backup MIDs for cancel UX. Use Craig (Esquire + TRX)</t>
  </si>
  <si>
    <t>we haven't tried new channels</t>
  </si>
  <si>
    <t>Current</t>
  </si>
  <si>
    <t>Do refunds require auth's now? (see Chase email)</t>
  </si>
  <si>
    <t>Importance</t>
  </si>
  <si>
    <t>Score</t>
  </si>
  <si>
    <t>We are short-staffed</t>
  </si>
  <si>
    <t>Comments</t>
  </si>
  <si>
    <t>?</t>
  </si>
  <si>
    <t>LaC'</t>
  </si>
  <si>
    <t>Lack of ability / willingness to commit huge start-up hours</t>
  </si>
  <si>
    <t>TC</t>
  </si>
  <si>
    <t>retention Inmates &amp; Sex offender- compare and separate categories</t>
  </si>
  <si>
    <t>Marketing (Google)</t>
  </si>
  <si>
    <t>retention criminal background</t>
  </si>
  <si>
    <t>We need more people</t>
  </si>
  <si>
    <t>Strength</t>
  </si>
  <si>
    <t>strong sales, low CPA</t>
  </si>
  <si>
    <t>LC/LaC</t>
  </si>
  <si>
    <t>TC / LC</t>
  </si>
  <si>
    <t>Marketing (Envyus)</t>
  </si>
  <si>
    <t>need Pub tracking but strong relationship, especially if we get the contract done</t>
  </si>
  <si>
    <t>2020 Plan</t>
  </si>
  <si>
    <t>LC / IT</t>
  </si>
  <si>
    <t>Billing Engine</t>
  </si>
  <si>
    <t>Invest funds ($000's)</t>
  </si>
  <si>
    <t>sophisticated billing, that we control 100%</t>
  </si>
  <si>
    <t>LC</t>
  </si>
  <si>
    <t>Split Tests</t>
  </si>
  <si>
    <t>need more after Multi-branding, with different signatures</t>
  </si>
  <si>
    <t>can test almost anything, just need volume</t>
  </si>
  <si>
    <t>Sales Site / CVR Optimization</t>
  </si>
  <si>
    <t>good but need better UX, more flows, simplified UXC mgmt</t>
  </si>
  <si>
    <t>Prod</t>
  </si>
  <si>
    <t>LC / TC</t>
  </si>
  <si>
    <t>Data</t>
  </si>
  <si>
    <t>Weakness</t>
  </si>
  <si>
    <t>Total investment</t>
  </si>
  <si>
    <t>currently a weak partnership w/ Enformion (weak data, expensive)</t>
  </si>
  <si>
    <t>Good oppty for cost savings and better product. We lack knowledge / skills, so will need biz dev</t>
  </si>
  <si>
    <t>N/A</t>
  </si>
  <si>
    <t>Marketing (Bing, FB, Criteo, Display, SMS, Remarketing)</t>
  </si>
  <si>
    <t>we don't have the knowledge / skills</t>
  </si>
  <si>
    <t>Unclear oppty but will have to hire or use external partners.</t>
  </si>
  <si>
    <t>keep equity as-is</t>
  </si>
  <si>
    <t>Cross Sell / Upsell</t>
  </si>
  <si>
    <t>split test new RR, new SUP (by thurs EOD)</t>
  </si>
  <si>
    <t xml:space="preserve">use funds primarily for staffing, and data deals </t>
  </si>
  <si>
    <t>Split test - RR 2.1, SUP 2.1</t>
  </si>
  <si>
    <t>Loader performance starting 5/27</t>
  </si>
  <si>
    <t>more important for this vertical vs. Industry? currently CPSSI</t>
  </si>
  <si>
    <t>Unclear oppty but don't know how to solve. Do we have to hire?</t>
  </si>
  <si>
    <t>LP perf - new Terry design, pull copy to the top</t>
  </si>
  <si>
    <t>no more investment available</t>
  </si>
  <si>
    <t>TC / LC / IT</t>
  </si>
  <si>
    <t>New CasD for 7D trial. Modify the single PR customer on it and update all the $1 trials and reporting</t>
  </si>
  <si>
    <t>Staffing / Hiring</t>
  </si>
  <si>
    <t>we lack capabilities to accomplish our goals, and don't have recruiting skills</t>
  </si>
  <si>
    <t>Unclear oppty to improve company w/ great talent</t>
  </si>
  <si>
    <t xml:space="preserve">HR </t>
  </si>
  <si>
    <t>Multibranding - (JC, RC, LC, Art1, Art2, Art3, MC)</t>
  </si>
  <si>
    <t>LP perf - new Terry design</t>
  </si>
  <si>
    <t>Opportunity</t>
  </si>
  <si>
    <t>FTE for Lionel and Ivan beginning Jan 1</t>
  </si>
  <si>
    <t>Conf + Upsell Experian - ID Theft protection, Sex Offender, Unclaimed Funds, Foreclosure info (future, MyAccount) ?</t>
  </si>
  <si>
    <t>tried but failed. Need to clean up, no bread crumbs</t>
  </si>
  <si>
    <t>Great oppty to increase capacity - becomes our key value add, and we have knowledge/skills</t>
  </si>
  <si>
    <t>FTE for Lauren beginning July 1</t>
  </si>
  <si>
    <t>Merchant Processing - capacity, costs</t>
  </si>
  <si>
    <t>Hire</t>
  </si>
  <si>
    <t>currently paying too much, not enough capacity</t>
  </si>
  <si>
    <t>Great oppty to lower costs, we have experience / skills but need to build up history / relationships. Dependent on Multibranding</t>
  </si>
  <si>
    <t>Web developer - both graphics design and front end coding</t>
  </si>
  <si>
    <t>Marketing (External Partners such as Fluent, RXMG, Xanadu, etc)</t>
  </si>
  <si>
    <r>
      <rPr>
        <rFont val="Calibri"/>
        <color rgb="FF999999"/>
        <sz val="8.0"/>
      </rPr>
      <t xml:space="preserve">DTR with Quadzero doesn't work because sticky occurs on </t>
    </r>
    <r>
      <rPr>
        <rFont val="Calibri"/>
        <b/>
        <color rgb="FF999999"/>
        <sz val="8.0"/>
      </rPr>
      <t xml:space="preserve">a declined trans </t>
    </r>
    <r>
      <rPr>
        <rFont val="Calibri"/>
        <color rgb="FF999999"/>
        <sz val="8.0"/>
      </rPr>
      <t>or successful trans. A rule can never be used after the first decline. Code needs override to not use QZ if it is on certain processors.
Ultimately we need our own sticky/DTR phase 3.. Fix later</t>
    </r>
  </si>
  <si>
    <t>Member Site Features</t>
  </si>
  <si>
    <t>USA or Canada</t>
  </si>
  <si>
    <t>Look at gitlab for bug tracking</t>
  </si>
  <si>
    <t>haven't tried yet, so a neutral score</t>
  </si>
  <si>
    <t>Great opportunity to make a big impact. Dependent on Multibranding</t>
  </si>
  <si>
    <t>MD'/MC/LC</t>
  </si>
  <si>
    <t>might need to hire 2 people part time (if we have to split up the role)</t>
  </si>
  <si>
    <t>Product UX</t>
  </si>
  <si>
    <t>Reach out to Experian</t>
  </si>
  <si>
    <t>Product manager</t>
  </si>
  <si>
    <t>current Membersite bad; the new Membersite UX is looking good</t>
  </si>
  <si>
    <t>Great opportunity to reduce cancels (killing GSR today). Worried about data compromising UX</t>
  </si>
  <si>
    <t>TBH - Mark is not available</t>
  </si>
  <si>
    <t>CSR</t>
  </si>
  <si>
    <t>Org Chart</t>
  </si>
  <si>
    <t>haven't spent enough time developing the systems</t>
  </si>
  <si>
    <t>Good oppty with our knowledge / skills. Strategic choice for Philippines is the right choice</t>
  </si>
  <si>
    <t>Who's the CEO</t>
  </si>
  <si>
    <t>MC2 to remain CEO temporarily (6 months)</t>
  </si>
  <si>
    <t>haven't spent enough time -&gt; slow reporting, with holes in our reporting</t>
  </si>
  <si>
    <t>Good oppty with our knowledge / skills</t>
  </si>
  <si>
    <t>LC to take over (co-manage during 6 months)</t>
  </si>
  <si>
    <t>Google Double Serving</t>
  </si>
  <si>
    <t>Enhance Report Page</t>
  </si>
  <si>
    <t>tried, but failed</t>
  </si>
  <si>
    <t>Good opportunity if we can make this work</t>
  </si>
  <si>
    <t>information sort order + sticky - used for Enformion negotiations</t>
  </si>
  <si>
    <t>ID Protection</t>
  </si>
  <si>
    <t>https://gitlab.mc2data.com/root/Dev/issues/113</t>
  </si>
  <si>
    <t>Goal</t>
  </si>
  <si>
    <t>promising conversations with Privacy Maxx</t>
  </si>
  <si>
    <t>Decent opportunity to add some product value</t>
  </si>
  <si>
    <t>Setup tools</t>
  </si>
  <si>
    <t>Complete People Search Plan (stuck w/ Enformion until April 2021)</t>
  </si>
  <si>
    <t>Business is sustainable starting 2021, absorbing full salaries and overhead (office?)</t>
  </si>
  <si>
    <t>MID Aggregation</t>
  </si>
  <si>
    <t>Per-unit contribution margin = $5+</t>
  </si>
  <si>
    <t>Threat</t>
  </si>
  <si>
    <t>currently not many MIDs but will be a problem as we scale</t>
  </si>
  <si>
    <t>GA tracking</t>
  </si>
  <si>
    <t>Multi Branding (100% Perfect) solves that</t>
  </si>
  <si>
    <t>TV image/font</t>
  </si>
  <si>
    <t>General Free Trial Model</t>
  </si>
  <si>
    <t>TV image</t>
  </si>
  <si>
    <t>Decide on TV Image. walking in city, mugshots in last iteration</t>
  </si>
  <si>
    <t>currently we rely on this model (under attack), while competitors don't</t>
  </si>
  <si>
    <t>No solution until we figure out Immediate billing (failed). Dependent on Multibranding</t>
  </si>
  <si>
    <t>Improve per-unit economics</t>
  </si>
  <si>
    <t>Contact us content</t>
  </si>
  <si>
    <t>FTC Low Disclosure</t>
  </si>
  <si>
    <t>PR GA/GTM</t>
  </si>
  <si>
    <t>currently low volume, few complaints</t>
  </si>
  <si>
    <t>PR GA/GTM, decide on PR conversion points</t>
  </si>
  <si>
    <t>Need to test higher disclosure, dependent on Multibranding</t>
  </si>
  <si>
    <t>ALL</t>
  </si>
  <si>
    <t>Can't lower CPA anymore but can we increase LTV? Competitors are doing that</t>
  </si>
  <si>
    <t>PR conversion points for RR and Signup, Adwords/Bing Signup Pixels</t>
  </si>
  <si>
    <t>TC Departure</t>
  </si>
  <si>
    <t>Adwords/Bing Signup Pixels - same google account as TV - is that an issue?</t>
  </si>
  <si>
    <t>Immediate billing</t>
  </si>
  <si>
    <t>verifi rules setup and DTR</t>
  </si>
  <si>
    <t>set for Dec 31, 2020</t>
  </si>
  <si>
    <t>Need to hire / train - Product, UX, Marketing, Biz Dev, Problem Solving</t>
  </si>
  <si>
    <t>quick fixes based on reporting</t>
  </si>
  <si>
    <t>Need to test since this is the future, and competitors are doing that</t>
  </si>
  <si>
    <t>MC Unmasking = google, envyus</t>
  </si>
  <si>
    <t>train LaC for populating GA data</t>
  </si>
  <si>
    <t>Billing engine</t>
  </si>
  <si>
    <t>How to tell original CasD and Remarketing sales</t>
  </si>
  <si>
    <t>currently only suspected by Enformion but Envyus is a risk</t>
  </si>
  <si>
    <t>Multi Branding (done 100% perfect) solves</t>
  </si>
  <si>
    <t>Short $27 (clever) performance starting 5/26</t>
  </si>
  <si>
    <t>SSI, 3DS are prime suspects but limited upside</t>
  </si>
  <si>
    <t>More Information on Report Page</t>
  </si>
  <si>
    <t>ART Timeline Discovery = Equity Takeover from Industry</t>
  </si>
  <si>
    <t>SUP perf - why empty? remove "Success" copy?</t>
  </si>
  <si>
    <t>Asian girl 6/9 - did it help bounce rates?</t>
  </si>
  <si>
    <t>OJ Simpson Project</t>
  </si>
  <si>
    <t>https://gitlab.mc2data.com/root/Dev/issues/118</t>
  </si>
  <si>
    <t>currently suspected with some data; recent outreach but don't know why</t>
  </si>
  <si>
    <t>Artemis biz plan or something else?</t>
  </si>
  <si>
    <t>Needed for CB mgmt, but will add small revenue (which may be big margin enhancer)</t>
  </si>
  <si>
    <t>VAE requirements email</t>
  </si>
  <si>
    <t>Product</t>
  </si>
  <si>
    <t>clean up SUP once variables available, create new variations for SUP for Sex Offender, Inmate</t>
  </si>
  <si>
    <t>Need to have a better product, should improve cancel rates and CB rates</t>
  </si>
  <si>
    <t>Email+BA+SMS</t>
  </si>
  <si>
    <r>
      <rPr>
        <rFont val="Calibri"/>
        <color rgb="FF999999"/>
        <sz val="8.0"/>
      </rPr>
      <t xml:space="preserve">Email+BA+SMS - getting ideas from checkpeople now (fyi their RR looks better now--animated circles for </t>
    </r>
    <r>
      <rPr>
        <rFont val="Calibri"/>
        <b/>
        <color rgb="FF999999"/>
        <sz val="8.0"/>
      </rPr>
      <t>EVERYTHING</t>
    </r>
    <r>
      <rPr>
        <rFont val="Calibri"/>
        <color rgb="FF999999"/>
        <sz val="8.0"/>
      </rPr>
      <t>) https://www.checkpeople.com/public-records?aid=1&amp;tid=65&amp;sid=criminal+records+for+free&amp;gclid=Cj0KCQjwk_TbBRDsARIsAALJSOZZbG-axuS8h6k1_OuKMzhEsWPynLYQM90vIboW3AGgauyDvZk5o94aAs-6EALw_wcB</t>
    </r>
  </si>
  <si>
    <t>Product Development</t>
  </si>
  <si>
    <t>More Data</t>
  </si>
  <si>
    <t>More Features</t>
  </si>
  <si>
    <t>Email+BA+SMS
CP doesn't remarket...</t>
  </si>
  <si>
    <t>Ancillary Features</t>
  </si>
  <si>
    <t>Social Data</t>
  </si>
  <si>
    <t xml:space="preserve">Full Contact data </t>
  </si>
  <si>
    <t>https://gitlab.mc2data.com/root/Dev/issues/1</t>
  </si>
  <si>
    <t>soc2 compliance?</t>
  </si>
  <si>
    <t>etc</t>
  </si>
  <si>
    <t>Options if goal if not met (after spending $600K)</t>
  </si>
  <si>
    <t>1. shut down</t>
  </si>
  <si>
    <t>Go over flows</t>
  </si>
  <si>
    <t>ready</t>
  </si>
  <si>
    <t>MC2 loses investment</t>
  </si>
  <si>
    <t>Revised PR by next week</t>
  </si>
  <si>
    <t>Team has to find new jobs</t>
  </si>
  <si>
    <t>Review PR</t>
  </si>
  <si>
    <t>Review PR (Open Sans, SO LP image, leave MHP)</t>
  </si>
  <si>
    <t>2. invest more funds</t>
  </si>
  <si>
    <t>TV GA Setup+Analysis</t>
  </si>
  <si>
    <t>Clone TF content for PR -&gt; merchant processor</t>
  </si>
  <si>
    <t>business looks good, but just needs more funds</t>
  </si>
  <si>
    <t>Finish terms/privacy content for PR</t>
  </si>
  <si>
    <t>any investment would dilute the equity, so MC2 would get more equity</t>
  </si>
  <si>
    <t>based on company valuation = average of 4x EBITDA and 1x Net Revenue</t>
  </si>
  <si>
    <t>target 2 weeks to launch (flows-&gt;bugfixes-&gt;UXC)</t>
  </si>
  <si>
    <t>target 1 weeks to launch (flows-&gt;bugfixes-&gt;UXC)</t>
  </si>
  <si>
    <t>3. plan B</t>
  </si>
  <si>
    <t>https://gitlab.mc2data.com/root/Dev/issues/48</t>
  </si>
  <si>
    <t>QA and launch week</t>
  </si>
  <si>
    <t>get handle on phase 2 optimizations</t>
  </si>
  <si>
    <t>Other vertical e.g. credit</t>
  </si>
  <si>
    <t>seo file from enformion</t>
  </si>
  <si>
    <t>Credit in Canada?</t>
  </si>
  <si>
    <t>Create SUP 2.5 (Long Form)</t>
  </si>
  <si>
    <t>Long $4.95 performance starting 5/29</t>
  </si>
  <si>
    <t>note this is a possibillity NOW</t>
  </si>
  <si>
    <t>Disable test #2/3/4 and switch over to $1-7D vs $1-2D</t>
  </si>
  <si>
    <t>B2B billing engine</t>
  </si>
  <si>
    <t>tracking status - TV, People discrepancy</t>
  </si>
  <si>
    <t>with Credit Canada</t>
  </si>
  <si>
    <t>Default to become SUP Long+$1 for Report+high disclosure</t>
  </si>
  <si>
    <t>Some new UXC for Public Records, Background</t>
  </si>
  <si>
    <t>Lead Gen</t>
  </si>
  <si>
    <t>New UXC for Compet, Inmate (adgroups), Sex Offender (adgroups), Locate (adgroups)</t>
  </si>
  <si>
    <t>Crim BG UXC - LP, SUP pulls from Background</t>
  </si>
  <si>
    <t>VMPI as CB% is still a concern. only 1 CB came in from 3DS cust but it was not protected b/c it was not fraud CB. 80+% of CB are fraud CB which is what 3DS protects</t>
  </si>
  <si>
    <t>Org Chart and Salaries</t>
  </si>
  <si>
    <t>Responsibilities</t>
  </si>
  <si>
    <t>Live Monitoring+PDF</t>
  </si>
  <si>
    <t>Salary 2020 ($000's)</t>
  </si>
  <si>
    <t>https://gitlab.mc2data.com/root/Dev/issues/83</t>
  </si>
  <si>
    <t>Equity</t>
  </si>
  <si>
    <t>MC2</t>
  </si>
  <si>
    <t>Strategy, Advisor, Investor</t>
  </si>
  <si>
    <t>30 hours / week</t>
  </si>
  <si>
    <t>Almost finalized. Clean file to send from mc2data</t>
  </si>
  <si>
    <t>Show how UXC is accessed</t>
  </si>
  <si>
    <t>Lionel</t>
  </si>
  <si>
    <t>CEO</t>
  </si>
  <si>
    <t>Find new chat for desktop</t>
  </si>
  <si>
    <t>Setup Thunderbird (Email/Chat/Calendar)</t>
  </si>
  <si>
    <t>Setup PR UXC</t>
  </si>
  <si>
    <t>Inmate Data Source</t>
  </si>
  <si>
    <t>Scrape data ourselves, vinelink.com</t>
  </si>
  <si>
    <t>Setup PR UXCC structure</t>
  </si>
  <si>
    <t>https://gitlab.mc2data.com/root/Biz/issues/58</t>
  </si>
  <si>
    <t>Lauren will help</t>
  </si>
  <si>
    <t>TBH</t>
  </si>
  <si>
    <t>track reporting for launch and look for bugs</t>
  </si>
  <si>
    <t>Frontend Dev (USA)</t>
  </si>
  <si>
    <t>we need this! how much salary?</t>
  </si>
  <si>
    <t>enformion 2nd token</t>
  </si>
  <si>
    <t>Ivan</t>
  </si>
  <si>
    <t>Tech</t>
  </si>
  <si>
    <t>Med $4.95 performance starting 5/26</t>
  </si>
  <si>
    <t>Reporting for 1/2/3/4. #1 to NOT have CasD</t>
  </si>
  <si>
    <t>Backend Dev (offshore)</t>
  </si>
  <si>
    <t>do we need this person? not now</t>
  </si>
  <si>
    <t>SUP - 1 step?</t>
  </si>
  <si>
    <t>Ops (Config, Billing, CSR, etc)</t>
  </si>
  <si>
    <t>New TV UXC for Compet - how to track conversions on PR</t>
  </si>
  <si>
    <t>Background UXC - make a parent</t>
  </si>
  <si>
    <t>Lisa</t>
  </si>
  <si>
    <r>
      <rPr>
        <rFont val="Calibri"/>
        <color rgb="FF999999"/>
        <sz val="8.0"/>
      </rPr>
      <t xml:space="preserve">Social?
</t>
    </r>
    <r>
      <rPr>
        <rFont val="Calibri"/>
        <b/>
        <color rgb="FF999999"/>
        <sz val="8.0"/>
      </rPr>
      <t xml:space="preserve">https://www.fullcontact.com/pricing-plans/ </t>
    </r>
    <r>
      <rPr>
        <rFont val="Calibri"/>
        <color rgb="FF999999"/>
        <sz val="8.0"/>
      </rPr>
      <t xml:space="preserve">($0.01/match enrich api)
</t>
    </r>
    <r>
      <rPr>
        <rFont val="Calibri"/>
        <b/>
        <color rgb="FF999999"/>
        <sz val="8.0"/>
      </rPr>
      <t>https://pipl.com/api/pricing</t>
    </r>
    <r>
      <rPr>
        <rFont val="Calibri"/>
        <color rgb="FF999999"/>
        <sz val="8.0"/>
      </rPr>
      <t xml:space="preserve"> (this one is really very interesting $0.20/match, social+PHOTOS!+lastseen+creationdate+urls, gender, addr, phone, jobs, edu, languages, family)</t>
    </r>
  </si>
  <si>
    <t>CSR's (offshore)</t>
  </si>
  <si>
    <t>Fullcontact Social</t>
  </si>
  <si>
    <t>Fullcontact Social signup for acct and try for free to sample</t>
  </si>
  <si>
    <t>29v39 test</t>
  </si>
  <si>
    <t>No 3DS test, processor test</t>
  </si>
  <si>
    <t>Scrape data ourselves, https://www.unclaimed.org/</t>
  </si>
  <si>
    <t>https://gitlab.mc2data.com/root/Biz/issues/59</t>
  </si>
  <si>
    <t>Lauren</t>
  </si>
  <si>
    <t>Finance, BI</t>
  </si>
  <si>
    <t>only 6 months</t>
  </si>
  <si>
    <t>Sub Total</t>
  </si>
  <si>
    <t>PR Sales Site</t>
  </si>
  <si>
    <t>send event if people scroll down 25% on the page</t>
  </si>
  <si>
    <t>VOIP setup phone.com or twilio</t>
  </si>
  <si>
    <t>Existing Salaries</t>
  </si>
  <si>
    <t>VOIP setup phone.com or twilio (used freshcaller instead)</t>
  </si>
  <si>
    <t>Setup billing for freshcaller after their free trial</t>
  </si>
  <si>
    <t>GA waterfall goals</t>
  </si>
  <si>
    <t>ID Protect + Insurance</t>
  </si>
  <si>
    <t>verifi issues with sending transactions</t>
  </si>
  <si>
    <t>Net Increase</t>
  </si>
  <si>
    <t>Experian or TU - use iframe solution; useful for the people searching themselves (which might be significant)</t>
  </si>
  <si>
    <t>New images for PR LP</t>
  </si>
  <si>
    <t>https://gitlab.mc2data.com/root/Biz/issues/61</t>
  </si>
  <si>
    <t>process to get back to previous version = notes + daily backups</t>
  </si>
  <si>
    <t>create up to 20 RM email, same delay</t>
  </si>
  <si>
    <t>create Original Clever</t>
  </si>
  <si>
    <t>Performance vs. SF (Spyfly)</t>
  </si>
  <si>
    <t>Other uses of funds (e.g. data, misc)</t>
  </si>
  <si>
    <t>Performance vs. SV (SeekVerify)</t>
  </si>
  <si>
    <t>some new CM/LC UXC</t>
  </si>
  <si>
    <t>Total Investment</t>
  </si>
  <si>
    <t>Public UXC - make a parent</t>
  </si>
  <si>
    <t>retention for every ad group (or UXC) from start of time to 17 days ago Pull these groups from PR S0 Waterfall</t>
  </si>
  <si>
    <t>Mysql for reporting</t>
  </si>
  <si>
    <t>Paul SUP configure and test</t>
  </si>
  <si>
    <t>Interactive on other UXC</t>
  </si>
  <si>
    <t>More Paul SUP tests?</t>
  </si>
  <si>
    <t>PDF downloads (upsell dependent)</t>
  </si>
  <si>
    <t>Notes</t>
  </si>
  <si>
    <t>Do you want us to go in to Credit? (since it's a good chance we can be profitable in that space)</t>
  </si>
  <si>
    <t>No. Too risky in my mind to do direct credit where we are the product. I don't think that lead gen only fits any of our wheel houses currently but it certainly does not have the same equity dilution risk. Lead gen only credit is second to PS. I do understand this singular choice probably has the largest effect on both the future of the business and the co-founder futures. I'd like to learn more about source of traffic for some of these lead gen companies as I doubt it is search. If not search, then risk of failure goes up in my mind even if we hire a marketer with experience in that channel.</t>
  </si>
  <si>
    <t>OK getting in to Credit now</t>
  </si>
  <si>
    <t>concerned with Resources</t>
  </si>
  <si>
    <t>Should we continue to work hard on making People Search work? Or should we kill it, or think of it as a side business (since it's not working as is)?</t>
  </si>
  <si>
    <t>Yes. I think we have been tiptoeing at least for the past 5 months once we had a CB shock and then the retention shock. Need some more dramatic changes to make step gains. This includes product improvements but also marketing.
Right now we have option value to make PS work. If we relegate this to a side business now, we essentially waste that option value as next year it will only get harder with the Visa mandate. Once that occurs we will not want to push this forward and since we have not widened the margins, I can see us not wanting to even keep this as a side business.</t>
  </si>
  <si>
    <t>go through mobile experience through affiliate links (see if TF vs BV vs SV is better)</t>
  </si>
  <si>
    <t>Let's make it work</t>
  </si>
  <si>
    <t>TV split between TF/SV -&gt; changed to TF/BV</t>
  </si>
  <si>
    <t>Are you willing to come over FTE, knowing MC2 might go out of business in the future? (and if that happens, you'll need to find another job)</t>
  </si>
  <si>
    <t>Test PF after price change 100%, bounce redirector</t>
  </si>
  <si>
    <t>Yes</t>
  </si>
  <si>
    <t>Yes, but in the future</t>
  </si>
  <si>
    <t>Experian or TU - use iframe solution</t>
  </si>
  <si>
    <t>If you are willing to come over FTE, how much salary do you need?</t>
  </si>
  <si>
    <t>decliner passthru/CasD, CasX Remarketing</t>
  </si>
  <si>
    <t>150K</t>
  </si>
  <si>
    <t>150K + health insurance</t>
  </si>
  <si>
    <t>Remarketing ( + noloader, 2 emails)</t>
  </si>
  <si>
    <t>Extended Remarketing</t>
  </si>
  <si>
    <t>should we adopt aggressive pricing strategy? $4.95 f0r today's report and $27.78/mo for unlimited reports (like free credit score)</t>
  </si>
  <si>
    <t>Are you able to do more than you are doing now? If so, how many hours per week?</t>
  </si>
  <si>
    <t>1 UXC criminal background (re-use criminal search)</t>
  </si>
  <si>
    <t>As FTE it will be 60-70</t>
  </si>
  <si>
    <t>70 -80</t>
  </si>
  <si>
    <t>Performance vs. TF (via Envyus) - contact Envyus</t>
  </si>
  <si>
    <t>Performance vs. TF (via Envyus) - we both fail at SUP</t>
  </si>
  <si>
    <t>PTE</t>
  </si>
  <si>
    <t>CA disclosure</t>
  </si>
  <si>
    <t>What are your thoughts on hiring?</t>
  </si>
  <si>
    <t>Compet UXC - make a parent</t>
  </si>
  <si>
    <t>Who should we hire now? Front end engineer? Back end engineer? Marketing? Product?</t>
  </si>
  <si>
    <t>Both routes will need A) front end engineer B) designer at least</t>
  </si>
  <si>
    <t>How much salary do we have to pay for each of these new hires?</t>
  </si>
  <si>
    <t>Site uptime. now 2 providers (Cula.io and UptimeRobot) and multiple location pings, multiple providers don't support javascript render with angular</t>
  </si>
  <si>
    <t>TBD</t>
  </si>
  <si>
    <t>Reverse Phone design from Paul. Need data attribute from IT</t>
  </si>
  <si>
    <t>What do you think about our original partner coming back to work on Marketing, Product? (low/zero salary initially)</t>
  </si>
  <si>
    <t>Scrape data ourselves</t>
  </si>
  <si>
    <t>I'm open to it in product. I still have my hesitations and I do believe that bringing him on this second time is almost assuredly a one way street. Worst case scenario is that it would be essentially the same as EBITDA dilution instead of equity dilution. It is just a risk assessment that worst case scenario is least likely to occur with him in product. If worst case occurs in product, we don't ship the product. If worst case happens in marketing, it may be hard to reverse.</t>
  </si>
  <si>
    <t>Who should be our CEO? Lionel? New guy? e.g. https://www.linkedin.com/in/vishal-bhalla/</t>
  </si>
  <si>
    <t>I would like to give it a try as CEO. Vishal's track record is impressive. Why did he leave better mortgage? I'm assuming he left lumosity because of the lawsuit from marketing (the marketing claims which caused the suit were probably initiated before his tenure there, but it sounds like he definitely scaled the use of those claims)</t>
  </si>
  <si>
    <t>let Verifi know we won't be using vault</t>
  </si>
  <si>
    <t>content sales site, member site</t>
  </si>
  <si>
    <t>Lionel's feedback</t>
  </si>
  <si>
    <t>Ivan's feedback</t>
  </si>
  <si>
    <t>content sales RR/Signup/Opt Out/Unsub/Emails, member only Loader, disable RR</t>
  </si>
  <si>
    <t>email content Welcome, db Horoscopes retry/discount settings</t>
  </si>
  <si>
    <t>Lauren's feedback</t>
  </si>
  <si>
    <t>email tracking through GTM-&gt;GA</t>
  </si>
  <si>
    <t>enformion dev token for staging</t>
  </si>
  <si>
    <t>RR page</t>
  </si>
  <si>
    <t>Does not want to do Credit</t>
  </si>
  <si>
    <t>Willing to do Credit</t>
  </si>
  <si>
    <t>Feedback on Terry design</t>
  </si>
  <si>
    <t>Concerned about going in to Credit</t>
  </si>
  <si>
    <t>TV going to Long $27, not $4.95</t>
  </si>
  <si>
    <t>Experian - ID Theft protection, Sex Offender (future)</t>
  </si>
  <si>
    <t>Credit is too risky, particularly for losing equity in MC2</t>
  </si>
  <si>
    <t>Experian - ID Theft protection, Sex Offender (future, MyAccount)</t>
  </si>
  <si>
    <t>Looking for highest ROI, based on the amount of work we do</t>
  </si>
  <si>
    <t>Wants to make People Search work</t>
  </si>
  <si>
    <t>PCI Attestation</t>
  </si>
  <si>
    <t>If Credit gets us the highest return, then let's do it</t>
  </si>
  <si>
    <t>stop particle test+update doc
retention crim background</t>
  </si>
  <si>
    <t>Likes Lionel's idea of doing this in phases</t>
  </si>
  <si>
    <t>Step 1. Increase EBITDA</t>
  </si>
  <si>
    <t>Willing to come over FTE</t>
  </si>
  <si>
    <t>Experian costs</t>
  </si>
  <si>
    <t>Do this by increasing sales. Even though our sales are low margin, they are still profitable and so increasing sales will increase EBITDA, which will support FTE</t>
  </si>
  <si>
    <t>Believes we will make improvements in billing, such as turning OFF 3DS</t>
  </si>
  <si>
    <t>Should not come over same time as Lionel or Ivan</t>
  </si>
  <si>
    <t>Step 2. FTE for Lionel and Ivan</t>
  </si>
  <si>
    <t>if we do that, we will require more MID's (could work with different brands, different signatures)</t>
  </si>
  <si>
    <t>Believes we need to make scarifices / take risks (to get reward of ownership)</t>
  </si>
  <si>
    <t>need $150K salary</t>
  </si>
  <si>
    <t>Willing to come over FTE, with risk</t>
  </si>
  <si>
    <t>Headcount</t>
  </si>
  <si>
    <t>Step 3. Improve retention</t>
  </si>
  <si>
    <t>need $150K</t>
  </si>
  <si>
    <t>OK with original partner</t>
  </si>
  <si>
    <t>Note sure how...could be immediate billing, different marketing hooks, ROAS, etc</t>
  </si>
  <si>
    <t>need health insurance</t>
  </si>
  <si>
    <t>What about improving product? How committed are you to that?</t>
  </si>
  <si>
    <t>Concerned about original partner's capabilities / distraction but is open minded</t>
  </si>
  <si>
    <t>algorithm for premium upsells (phase 2)</t>
  </si>
  <si>
    <t>Will think about original partner</t>
  </si>
  <si>
    <t>We can always terminate him if he is a distraction</t>
  </si>
  <si>
    <t>Will allocate more time to MC2. How much?</t>
  </si>
  <si>
    <t>Loader page</t>
  </si>
  <si>
    <t>Need UXC for all configs - see Sales Site UXC Info google doc</t>
  </si>
  <si>
    <t>Non-data related features</t>
  </si>
  <si>
    <t>Test 3DS no welcome message on login</t>
  </si>
  <si>
    <t>algorithm for remarketing campaigns and content</t>
  </si>
  <si>
    <t>need front end developer / designer</t>
  </si>
  <si>
    <t>add screenshots to DAR</t>
  </si>
  <si>
    <t>Multibranding?</t>
  </si>
  <si>
    <t>Test 3DS low grace period if 3DS CR suffers</t>
  </si>
  <si>
    <t>Make it easier to use, collect customer data</t>
  </si>
  <si>
    <t>Hire CSR</t>
  </si>
  <si>
    <t>https://gitlab.mc2data.com/root/Dev/issues/106</t>
  </si>
  <si>
    <t>Plan to prevent prod error</t>
  </si>
  <si>
    <t>new SUP (Paul design)</t>
  </si>
  <si>
    <t>Dev</t>
  </si>
  <si>
    <t>Reviews site almost done. Need front end updated, Privacy, Urls from EnvyUS, UXC needed</t>
  </si>
  <si>
    <t>C1, URLs, Pixels</t>
  </si>
  <si>
    <t>URLs, Pixels, B1 flow should not keep re-showing LB</t>
  </si>
  <si>
    <t>URLs, Pixels</t>
  </si>
  <si>
    <t>GTM on site, iframable pixel</t>
  </si>
  <si>
    <t>Bing UET native in GTM</t>
  </si>
  <si>
    <t>Integrating html</t>
  </si>
  <si>
    <t>complete semi-automatic report for CPD, casD, CPA (from DAR)</t>
  </si>
  <si>
    <t>bugfixes</t>
  </si>
  <si>
    <t>bugfixes for launch</t>
  </si>
  <si>
    <t>OI</t>
  </si>
  <si>
    <t>Metrics</t>
  </si>
  <si>
    <t>Email remarketing v1.5 (engagers, gmail different, use results from last teaser, tracking, list-unsubscribe header, manual unsubscribe)</t>
  </si>
  <si>
    <t>algorithm for Loader timing</t>
  </si>
  <si>
    <t>DAR</t>
  </si>
  <si>
    <t>automate using google API</t>
  </si>
  <si>
    <t>Rename tracking variables</t>
  </si>
  <si>
    <t>Enformion errors?</t>
  </si>
  <si>
    <t>Terry SUP</t>
  </si>
  <si>
    <t>Terry SUP -&gt; Paul</t>
  </si>
  <si>
    <t>cancel vs declines in GA waterfall</t>
  </si>
  <si>
    <t>Google cloud -&gt; Google One</t>
  </si>
  <si>
    <t>Enformon error</t>
  </si>
  <si>
    <t>Upload S1.n</t>
  </si>
  <si>
    <t>Hiring dev</t>
  </si>
  <si>
    <t>Jody sent back A1*, B1*, C1*. review today</t>
  </si>
  <si>
    <t>Setup GA and QA</t>
  </si>
  <si>
    <t>email routing goes to black hole</t>
  </si>
  <si>
    <t>CPA meeting</t>
  </si>
  <si>
    <t>Value to us</t>
  </si>
  <si>
    <t>IT to give LiC list of items in code not working and I can give Jody feedback about quality of work</t>
  </si>
  <si>
    <t>Weeks of Work</t>
  </si>
  <si>
    <t>Priority</t>
  </si>
  <si>
    <t>Milestone</t>
  </si>
  <si>
    <t>gave feedback to Jody and he also gave final work product</t>
  </si>
  <si>
    <t>Comment</t>
  </si>
  <si>
    <t>background img uxc driven</t>
  </si>
  <si>
    <t>switch to mosaic pic</t>
  </si>
  <si>
    <t>Content sales site, member site</t>
  </si>
  <si>
    <t>SSL</t>
  </si>
  <si>
    <t>Internal Gateway</t>
  </si>
  <si>
    <t>SEO</t>
  </si>
  <si>
    <t>what is displayed in the daily S0 emails? Name? Description?</t>
  </si>
  <si>
    <t>Multi Brands</t>
  </si>
  <si>
    <t>Uploading S1 into Adwords</t>
  </si>
  <si>
    <t>uptime?</t>
  </si>
  <si>
    <t>Email</t>
  </si>
  <si>
    <t>Gateway error</t>
  </si>
  <si>
    <t>Calling System</t>
  </si>
  <si>
    <t>LC = bottleneck</t>
  </si>
  <si>
    <t>Features</t>
  </si>
  <si>
    <t>Retention report</t>
  </si>
  <si>
    <t>Immediate Billing 1.5</t>
  </si>
  <si>
    <t>low?</t>
  </si>
  <si>
    <t>Billing ideas</t>
  </si>
  <si>
    <t>Investigate 3DS drop</t>
  </si>
  <si>
    <t>Inmate</t>
  </si>
  <si>
    <t>med?</t>
  </si>
  <si>
    <t>MC = bottleneck</t>
  </si>
  <si>
    <t>cheaper Enformion for casD</t>
  </si>
  <si>
    <t>Setup the mc2 cloud. Needs personal configs</t>
  </si>
  <si>
    <t>All browser QA (Mark to do iphone/ipad)</t>
  </si>
  <si>
    <t>Unreachable/Landing page not found on Adwords when google checks landing pages</t>
  </si>
  <si>
    <t>cross sell ID Protect or Credit - PDP Lightbox</t>
  </si>
  <si>
    <t>Second Credit Card</t>
  </si>
  <si>
    <t>status for launch</t>
  </si>
  <si>
    <t>Remarketing</t>
  </si>
  <si>
    <t>SMS</t>
  </si>
  <si>
    <t>BA</t>
  </si>
  <si>
    <t>back button redirect to third party url + tracking</t>
  </si>
  <si>
    <t>undo back button redirect after we hear from Google (UXComp)</t>
  </si>
  <si>
    <t>Reporting 2.0</t>
  </si>
  <si>
    <t>Contact us email</t>
  </si>
  <si>
    <t>PCI scan compliance</t>
  </si>
  <si>
    <t>Enformion IP</t>
  </si>
  <si>
    <t>cache flush schedule @ 1:55AM, campaign will be down from 1AM to 2AM PST</t>
  </si>
  <si>
    <t>IT to look at Terry's code quality</t>
  </si>
  <si>
    <t>Build 5</t>
  </si>
  <si>
    <t>Envyus reporting</t>
  </si>
  <si>
    <t>Uploading S1 into Adwords (also onetime S0 load before 7/21)</t>
  </si>
  <si>
    <t>Not recommended by google</t>
  </si>
  <si>
    <t>CP SSI fix -&gt; launch</t>
  </si>
  <si>
    <t>MID closing capability</t>
  </si>
  <si>
    <t>scrub casP capability</t>
  </si>
  <si>
    <t>affiliate fraud tracking (phase 1)</t>
  </si>
  <si>
    <t>SSL expiration+google manuall upload. Please fix root cause for expiration</t>
  </si>
  <si>
    <t>Retention by affiliate</t>
  </si>
  <si>
    <t>Build 6</t>
  </si>
  <si>
    <t>Member Site March 2020</t>
  </si>
  <si>
    <t>Vultr fast servers reserved (prod). TV + cloud. $40 + $80/mo google cloud will be for gateway</t>
  </si>
  <si>
    <t>All reviews numbers to be in the hundreds</t>
  </si>
  <si>
    <t>increase font-sizes of headlines</t>
  </si>
  <si>
    <t>Chat/Email/Docs/ IT</t>
  </si>
  <si>
    <t>Contact us + footer + cards on reg</t>
  </si>
  <si>
    <t>MX record check</t>
  </si>
  <si>
    <t>test on iphone 5, 8 and 10</t>
  </si>
  <si>
    <t>Enformion error</t>
  </si>
  <si>
    <t>blling code change</t>
  </si>
  <si>
    <t>Billing bug - impact?</t>
  </si>
  <si>
    <t>stats like retention by demo url param</t>
  </si>
  <si>
    <t>d/b update risky? coord testing</t>
  </si>
  <si>
    <t>d/b update risky? coord testing (this is technically done but we should wait until we test rollback to see if code issue)</t>
  </si>
  <si>
    <t>reverse phone</t>
  </si>
  <si>
    <t>small changes to css</t>
  </si>
  <si>
    <t>wider image for banner so that face is not obscured by text</t>
  </si>
  <si>
    <t>wider image for banner so that face is not obscured by text, jody emailed alt image</t>
  </si>
  <si>
    <t>status for backend for PR launch</t>
  </si>
  <si>
    <t>Loader does not shows names on questions</t>
  </si>
  <si>
    <t>test on ipad</t>
  </si>
  <si>
    <t>Verifi CB setup</t>
  </si>
  <si>
    <t>CULA report - could our uptime or perf be hurting CVR?</t>
  </si>
  <si>
    <t>Paul SUP</t>
  </si>
  <si>
    <t>Paul SUP fixes (hide step 1 button/seals after success)</t>
  </si>
  <si>
    <t>PCI Scan</t>
  </si>
  <si>
    <t>social addon backend</t>
  </si>
  <si>
    <t>Free equiv pingdom setup</t>
  </si>
  <si>
    <t>Free equiv pingdom setup -&gt; http://cabotapp.com/ + Twilio</t>
  </si>
  <si>
    <t>make reviews SEO friendly (schema.org, extension links, titles) AND submit to google webmaster tools for SEO</t>
  </si>
  <si>
    <t>copy changes for landing page changes</t>
  </si>
  <si>
    <t>report limiter</t>
  </si>
  <si>
    <t>Terry LP with asian girl b/g</t>
  </si>
  <si>
    <t>Hire the Dev</t>
  </si>
  <si>
    <t>Gitlab</t>
  </si>
  <si>
    <t>C1. disable (grey) button if required field not completed</t>
  </si>
  <si>
    <t>bank transactions/financial</t>
  </si>
  <si>
    <t>csr cancel/uncancel</t>
  </si>
  <si>
    <t>test token (enformion 2nd token)</t>
  </si>
  <si>
    <t>sendgrid has access to mc2data@gmail.com (google warning)</t>
  </si>
  <si>
    <t>not have autofocus on search box on mobile only (for keyboard)</t>
  </si>
  <si>
    <t>questions about uploading S1 data into Adwords (onetime and recurring load)</t>
  </si>
  <si>
    <t>Advertiser disclosure on top of footer</t>
  </si>
  <si>
    <t>review desc block to all link to review page, not just the read review link</t>
  </si>
  <si>
    <t>small dev project for work</t>
  </si>
  <si>
    <t>create team@mc2data.com email alias for us to use.</t>
  </si>
  <si>
    <t>Terry - doing LP + Loader</t>
  </si>
  <si>
    <t>Terry - doing LP. Dev process?</t>
  </si>
  <si>
    <t>Server capcity - Inmates campaign (total 300 S0, 15K clicks/day)</t>
  </si>
  <si>
    <t>Corp</t>
  </si>
  <si>
    <t>Corp Setup</t>
  </si>
  <si>
    <t>Corp Setup - agent vs member/manager</t>
  </si>
  <si>
    <t>Corp Setup - FL foreign filing - hopefully Tues/Wed</t>
  </si>
  <si>
    <t>FL filing complete</t>
  </si>
  <si>
    <t>Get paid from EnvyUs</t>
  </si>
  <si>
    <t>reconcile Envyus</t>
  </si>
  <si>
    <t>Stacy meeting Friday, location?</t>
  </si>
  <si>
    <t>waiting on stacy thoughts about box product</t>
  </si>
  <si>
    <t>reconcile sale performance stats - waterfall(GA) vs waterfall(internal) vs. adwords waterfall vs UXC-based waterfall</t>
  </si>
  <si>
    <t>Set up wire payment; Pay Terry; Informium. Complete the model</t>
  </si>
  <si>
    <t>confirm wire went through</t>
  </si>
  <si>
    <t>more capital</t>
  </si>
  <si>
    <t>domain xfer from godaddy to google</t>
  </si>
  <si>
    <t>Citi Card having issues?</t>
  </si>
  <si>
    <t>Higher Limit? (been waiting to reach back out to QP till Thurs)</t>
  </si>
  <si>
    <t>QP limit is now set to $100.8K/month</t>
  </si>
  <si>
    <t>California nexus taxes on kidco / jco</t>
  </si>
  <si>
    <t>people finders contract</t>
  </si>
  <si>
    <t>credit card account; check for Jasmine personal credit card</t>
  </si>
  <si>
    <t>credit card account</t>
  </si>
  <si>
    <t>credit card account - applied</t>
  </si>
  <si>
    <t>credit card - old account</t>
  </si>
  <si>
    <t>money flow - S0 -&gt; verifi -&gt; bank account</t>
  </si>
  <si>
    <t>MAJOR INITIATIVES :</t>
  </si>
  <si>
    <t>check merch proc costs - qualpay admin i/f</t>
  </si>
  <si>
    <t>credit card with good benefits</t>
  </si>
  <si>
    <t>domain for inmate search</t>
  </si>
  <si>
    <t>xfer mc2data, privaterecords, truthviewer to google? (after IT gets back)</t>
  </si>
  <si>
    <t>Aggressively pursue reason Chase declined PR $39 transaction</t>
  </si>
  <si>
    <t>xfer mc2data, privaterecords, truthviewer to google? (auto renew 11/4)</t>
  </si>
  <si>
    <t>mailing address working</t>
  </si>
  <si>
    <t>PR merch account - BofA and Qualpay after sales site</t>
  </si>
  <si>
    <t>PR merch account - Qualpay and Chase, after sales site and bank account. Qualpay match prices</t>
  </si>
  <si>
    <t>PR merch account - finish QP. start chase?</t>
  </si>
  <si>
    <t>PCI scan</t>
  </si>
  <si>
    <t>corp paperworks</t>
  </si>
  <si>
    <t>IT costs - vpsdime, google cloud and vultr</t>
  </si>
  <si>
    <t>People - not any different than Crim (worse in fact)</t>
  </si>
  <si>
    <t>mc2data.com gsuite account (original)</t>
  </si>
  <si>
    <t>sale emails go to mc2data@gmail.com</t>
  </si>
  <si>
    <t>daily upload of Verifi transactions</t>
  </si>
  <si>
    <t>Theme: Scale and operationalize the business while taking baby steps to secure our long term competitiveness</t>
  </si>
  <si>
    <t>operating agreement</t>
  </si>
  <si>
    <t>operating agreement - MC2 and Caesar</t>
  </si>
  <si>
    <t>Washington state - B&amp;O taxes</t>
  </si>
  <si>
    <t>Chase merchant account???</t>
  </si>
  <si>
    <t>Category</t>
  </si>
  <si>
    <t>setup chase MID with Verifi</t>
  </si>
  <si>
    <t>Project</t>
  </si>
  <si>
    <t>financial model</t>
  </si>
  <si>
    <t>Names - not working yet (still early)</t>
  </si>
  <si>
    <t>Benefit - with probability</t>
  </si>
  <si>
    <t>Dependency</t>
  </si>
  <si>
    <t>Impact</t>
  </si>
  <si>
    <t>Dev Effort</t>
  </si>
  <si>
    <t>marketing@mc2data.com email account</t>
  </si>
  <si>
    <t>Ops Effort</t>
  </si>
  <si>
    <t>check daily settlements - they do not appear to be increasing as expected (proportional to sales)</t>
  </si>
  <si>
    <t>Hide</t>
  </si>
  <si>
    <t>Theme: Focus on customer value, see if we can move retention, and increase operational efficiency</t>
  </si>
  <si>
    <t>Hire developers and marketing</t>
  </si>
  <si>
    <t>We need developers to work on projects</t>
  </si>
  <si>
    <t>Faster development - H</t>
  </si>
  <si>
    <t>ID</t>
  </si>
  <si>
    <t>Target</t>
  </si>
  <si>
    <t>Actual</t>
  </si>
  <si>
    <t>Capitalize $28K for this year, $60K next year, then trust invest 1M</t>
  </si>
  <si>
    <t>New Feature?</t>
  </si>
  <si>
    <t>PP</t>
  </si>
  <si>
    <t>verifi contract assign</t>
  </si>
  <si>
    <t>MD</t>
  </si>
  <si>
    <t>JR</t>
  </si>
  <si>
    <t>spokeo contract</t>
  </si>
  <si>
    <t>PU</t>
  </si>
  <si>
    <t>JS</t>
  </si>
  <si>
    <t>TL</t>
  </si>
  <si>
    <t>Done?</t>
  </si>
  <si>
    <t>SUP Phone</t>
  </si>
  <si>
    <t>Collect phone number on SUP to be used in CSR and remarketing</t>
  </si>
  <si>
    <t>enformion payment</t>
  </si>
  <si>
    <t>Support operational efficiency -H
Sales - M</t>
  </si>
  <si>
    <t>enformion payment hold until we get SEO file/token</t>
  </si>
  <si>
    <t>New Feature</t>
  </si>
  <si>
    <t>CSR Training</t>
  </si>
  <si>
    <t>Long Form - seems to be better (try RR again? clone CheckPeople via Terry)</t>
  </si>
  <si>
    <t>Remkting</t>
  </si>
  <si>
    <t>NP</t>
  </si>
  <si>
    <t>DBA</t>
  </si>
  <si>
    <t>Unlim Social</t>
  </si>
  <si>
    <t>Get the ability to do unlimited social searches and images</t>
  </si>
  <si>
    <t>More product value - H</t>
  </si>
  <si>
    <t xml:space="preserve">PR Model: No Legacy revenue </t>
  </si>
  <si>
    <t>QA billing  engine</t>
  </si>
  <si>
    <t>Member</t>
  </si>
  <si>
    <t>Biz Dev</t>
  </si>
  <si>
    <t>monitor SSL Cert renewal email weekly (ask IT about this)</t>
  </si>
  <si>
    <t>Lower core data costs</t>
  </si>
  <si>
    <t>LN</t>
  </si>
  <si>
    <t>Find new vendors and compare vs. Enformion. Renegotiate Enformion.</t>
  </si>
  <si>
    <t>Get test agreement in place</t>
  </si>
  <si>
    <t>Product value - M</t>
  </si>
  <si>
    <t>Product Cost - MH</t>
  </si>
  <si>
    <t>Compliance</t>
  </si>
  <si>
    <t>Disc 1.2</t>
  </si>
  <si>
    <t>Look at any remaining items for testing</t>
  </si>
  <si>
    <t>Testing</t>
  </si>
  <si>
    <t>Copy</t>
  </si>
  <si>
    <t>Trusts + General Estate Planning Tips/Organization</t>
  </si>
  <si>
    <t>verifi contract assign - waiting for bank account</t>
  </si>
  <si>
    <t>verifi contract assign + setup</t>
  </si>
  <si>
    <t>PCI</t>
  </si>
  <si>
    <t>Take over PCI</t>
  </si>
  <si>
    <t>verifi contract setup</t>
  </si>
  <si>
    <t>Transfer PCI over to Jean</t>
  </si>
  <si>
    <t>Maintenance</t>
  </si>
  <si>
    <t>Training</t>
  </si>
  <si>
    <t>chase MID</t>
  </si>
  <si>
    <t>Trainer</t>
  </si>
  <si>
    <t>Done</t>
  </si>
  <si>
    <t>Support</t>
  </si>
  <si>
    <t>Prorated</t>
  </si>
  <si>
    <t>Free Trial - $1 working? $4.95 kinda (will need 3DS)</t>
  </si>
  <si>
    <r>
      <rPr>
        <color rgb="FF1155CC"/>
        <sz val="8.0"/>
        <u/>
      </rPr>
      <t>WeInform.net</t>
    </r>
    <r>
      <rPr>
        <color rgb="FF000000"/>
        <sz val="8.0"/>
      </rPr>
      <t xml:space="preserve"> for internal use</t>
    </r>
  </si>
  <si>
    <t>Test pro-rated refunds</t>
  </si>
  <si>
    <t>Policies/Training</t>
  </si>
  <si>
    <t>security re: laptops</t>
  </si>
  <si>
    <t>research hire vs contractor</t>
  </si>
  <si>
    <t>tCPA profitable</t>
  </si>
  <si>
    <t>Modify tCPAs on any campaigns that are losing</t>
  </si>
  <si>
    <t>Audit</t>
  </si>
  <si>
    <t>Representment success rate? QP says over past 90 days:
14 issuer accepted, 8 issuer rejected, 2 challenged, 41 issuer review
Do you see the approx 14 returned in our statements?</t>
  </si>
  <si>
    <t>G Ads</t>
  </si>
  <si>
    <t>Sales Site 2/3</t>
  </si>
  <si>
    <t>Launch Sales Site code with UX 2.0 and UX 3.0</t>
  </si>
  <si>
    <t>transition our internal ops to WI (email, files, gitlab, bugzilla?)</t>
  </si>
  <si>
    <t>getting credit card for WIL</t>
  </si>
  <si>
    <t>Biz Ops</t>
  </si>
  <si>
    <t>Operationalize Sales 2</t>
  </si>
  <si>
    <t>Launch the brands for Fluent</t>
  </si>
  <si>
    <t>bank/credit card/financial</t>
  </si>
  <si>
    <t>bank account - go into Chase Tues; gift to trust, which will xfer to bank account</t>
  </si>
  <si>
    <t>bank account - set up at Chase, gift to trust, which will xfer to bank account</t>
  </si>
  <si>
    <t>DBA/PM/MIDs/Mkting</t>
  </si>
  <si>
    <t>Launch refund app</t>
  </si>
  <si>
    <t>Lower refunds - H</t>
  </si>
  <si>
    <t>Policies/CSR Training</t>
  </si>
  <si>
    <t>conversations failure, add me back</t>
  </si>
  <si>
    <t>MBMC</t>
  </si>
  <si>
    <t>Envyus - haven't tried yet</t>
  </si>
  <si>
    <t>Create and operationalize the maintenance of new entities and get MIDs</t>
  </si>
  <si>
    <t>Operationalize Sales 3</t>
  </si>
  <si>
    <t>Launch the brands for EnvyUs</t>
  </si>
  <si>
    <t>pay USGA for CSR</t>
  </si>
  <si>
    <t>CSR payment question (Morelia is asking)</t>
  </si>
  <si>
    <t>Offline Conversions</t>
  </si>
  <si>
    <t>Optimize around retention instead of conversions</t>
  </si>
  <si>
    <t>Obituaries Hack</t>
  </si>
  <si>
    <t>HR</t>
  </si>
  <si>
    <t>Hire Growth Marketer</t>
  </si>
  <si>
    <t>Hire a growth marketer</t>
  </si>
  <si>
    <t>Add "Want Death Records?" to PDP that pops up a Contact Us form -&gt; emailed to us. We (Demetri?) manually scrape competitor sites and email results to customer. Combine with effort to migrate emails to d/b</t>
  </si>
  <si>
    <t>Learn if Obits info reduces cancel rates - H</t>
  </si>
  <si>
    <t>Demetri to process</t>
  </si>
  <si>
    <t>verifi's merchant info questionnaire</t>
  </si>
  <si>
    <t>Test Bing</t>
  </si>
  <si>
    <t>Can we get Bing working?</t>
  </si>
  <si>
    <t>Campaigns</t>
  </si>
  <si>
    <t>Delaware company registration - consolidation?</t>
  </si>
  <si>
    <t>Push optimization</t>
  </si>
  <si>
    <t>Optimize push remarketing</t>
  </si>
  <si>
    <t>Mastercard for testing</t>
  </si>
  <si>
    <t>BBB</t>
  </si>
  <si>
    <t>Member 2.1</t>
  </si>
  <si>
    <t>Get MVP Membersite 2.1 ready w/o all the new backend features</t>
  </si>
  <si>
    <t>Product value - H</t>
  </si>
  <si>
    <t>Inmate Hack</t>
  </si>
  <si>
    <t>Design</t>
  </si>
  <si>
    <t>BBB Update Reg page with Term disclosure</t>
  </si>
  <si>
    <r>
      <rPr>
        <strike/>
        <color rgb="FF000000"/>
        <sz val="8.0"/>
      </rPr>
      <t xml:space="preserve">Redirect Inmate customers to a </t>
    </r>
    <r>
      <rPr>
        <strike/>
        <color rgb="FF1155CC"/>
        <sz val="8.0"/>
      </rPr>
      <t>prisonpro.com</t>
    </r>
    <r>
      <rPr>
        <strike/>
        <color rgb="FF000000"/>
        <sz val="8.0"/>
      </rPr>
      <t xml:space="preserve"> clone (see traffic </t>
    </r>
    <r>
      <rPr>
        <strike/>
        <color rgb="FF1155CC"/>
        <sz val="8.0"/>
      </rPr>
      <t>https://prnt.sc/t051wc)</t>
    </r>
    <r>
      <rPr>
        <strike/>
        <color rgb="FF000000"/>
        <sz val="8.0"/>
      </rPr>
      <t xml:space="preserve"> we create at </t>
    </r>
    <r>
      <rPr>
        <strike/>
        <color rgb="FF1155CC"/>
        <sz val="8.0"/>
      </rPr>
      <t>privaterecords.info</t>
    </r>
    <r>
      <rPr>
        <strike/>
        <color rgb="FF000000"/>
        <sz val="8.0"/>
      </rPr>
      <t xml:space="preserve">, using wordpress. </t>
    </r>
  </si>
  <si>
    <t>2.1 Reverse Phone</t>
  </si>
  <si>
    <t>Get the membersite reverse phone funnel into the Member 2.1 experience</t>
  </si>
  <si>
    <t>UX</t>
  </si>
  <si>
    <t>SMS Remarketing</t>
  </si>
  <si>
    <t>Learn if Inmate features reduces cancel rate - H</t>
  </si>
  <si>
    <t>Launch SMS remarketing with opt out functionality and also do not SMS signups.</t>
  </si>
  <si>
    <t>Low cost sales - H</t>
  </si>
  <si>
    <t>enformion contract</t>
  </si>
  <si>
    <t>Ryan C / Mark C to create</t>
  </si>
  <si>
    <t>Copy/DBA/Biz Dev</t>
  </si>
  <si>
    <t>Terry</t>
  </si>
  <si>
    <t>Action Recommender</t>
  </si>
  <si>
    <t>Launch rules to help standardize CSR business policies.</t>
  </si>
  <si>
    <t>Standardized bus policies - H</t>
  </si>
  <si>
    <t>credit card with good benefits (Aug 12)</t>
  </si>
  <si>
    <t>$100K capital in</t>
  </si>
  <si>
    <t>2.2 Inmate</t>
  </si>
  <si>
    <t>Check with Chase why no interchange?</t>
  </si>
  <si>
    <t>Get the current inmate content onto all of our sites</t>
  </si>
  <si>
    <t>Product value - ML</t>
  </si>
  <si>
    <t>vultr pricing ok?</t>
  </si>
  <si>
    <t>UX 1.5</t>
  </si>
  <si>
    <t>Minimal brand differentiation such as cloning a compet in order to get enough differentiation to create new brands/MIDs. This is NOT focused on fooling Envyus or google as that is UX 2</t>
  </si>
  <si>
    <t>Sales and sales diversification</t>
  </si>
  <si>
    <t>Billing</t>
  </si>
  <si>
    <t>$29 Billing</t>
  </si>
  <si>
    <t>Try $29/mo to see if that materially helps retention</t>
  </si>
  <si>
    <t>Retention - L</t>
  </si>
  <si>
    <t>CPCC 1.2</t>
  </si>
  <si>
    <t>CPCC with good UX</t>
  </si>
  <si>
    <t>Retention - M</t>
  </si>
  <si>
    <t>RDR</t>
  </si>
  <si>
    <t>Membersite Mar 2020</t>
  </si>
  <si>
    <t>Launch RDR with Verifi (said it will be avail 12/11)</t>
  </si>
  <si>
    <t>New Membersite (comprehensive)</t>
  </si>
  <si>
    <t>A nicer design will reduce cancel rates - M</t>
  </si>
  <si>
    <t>Hire Front End Dev</t>
  </si>
  <si>
    <t>Enformion invoice</t>
  </si>
  <si>
    <t>Costs</t>
  </si>
  <si>
    <t>Twilio Direct</t>
  </si>
  <si>
    <t>Check merchant processing fees</t>
  </si>
  <si>
    <t>Use Twilio for call costs instead of through FC</t>
  </si>
  <si>
    <t>Lower Call Costs - H</t>
  </si>
  <si>
    <t>PM</t>
  </si>
  <si>
    <t>design by Melissa, front end by new Korean dev, back end by IT. Need data providers like Ancestry.com</t>
  </si>
  <si>
    <t>Test LN</t>
  </si>
  <si>
    <t>Test new data provider</t>
  </si>
  <si>
    <t>Obituaries</t>
  </si>
  <si>
    <t>Add Obituaries to Member site with IDI or manual scraping (could test concept)</t>
  </si>
  <si>
    <t>Obituary data and features will decrease cancels for our highest volume use case (20%) - M</t>
  </si>
  <si>
    <t>PDB</t>
  </si>
  <si>
    <t>Data deal, see what we learn from Obituary Hack</t>
  </si>
  <si>
    <t>Member 2.2</t>
  </si>
  <si>
    <t>Launch membersite with all the backend features we orig intended</t>
  </si>
  <si>
    <t>Product value - MH</t>
  </si>
  <si>
    <t>Do we do a deal with them?</t>
  </si>
  <si>
    <t>CheckPeople update</t>
  </si>
  <si>
    <t>New Use Cases / Campaigns</t>
  </si>
  <si>
    <t>Google Data Studio - BI Platform?</t>
  </si>
  <si>
    <t>Need to support new campaigns - NAMES (GAC google support), Reverse Phone (sales site), Online Dating (Native Ads)</t>
  </si>
  <si>
    <t>These campaigns will generate 10% - 20% more sales at same CPA - M</t>
  </si>
  <si>
    <t>Look for accounting system</t>
  </si>
  <si>
    <t>Dating UXC</t>
  </si>
  <si>
    <t>Customized content for Dating UXC</t>
  </si>
  <si>
    <t>Try ad customizers in google - https://support.google.com/google-ads/answer/6093368</t>
  </si>
  <si>
    <t>Misc</t>
  </si>
  <si>
    <t>Hire Engineering Manager</t>
  </si>
  <si>
    <t>Get an engineering manager that can help manage the devs</t>
  </si>
  <si>
    <t>Operational efficiency - M</t>
  </si>
  <si>
    <t>Membersite Data Upsells</t>
  </si>
  <si>
    <t>Fix chat clients for phones</t>
  </si>
  <si>
    <t>does restore actually work (financial model)</t>
  </si>
  <si>
    <t>Sell PS report for $0.23, then upsell ala carte items based on Enformion's Indicator "Meta" Data</t>
  </si>
  <si>
    <t>Member 2.3</t>
  </si>
  <si>
    <t>Customers will purchase upsells ala carte - H</t>
  </si>
  <si>
    <t>Membersite with LN. This includes new ways to search incl property search</t>
  </si>
  <si>
    <t>New Membersite</t>
  </si>
  <si>
    <t>record CSR voicemail message (Vania?)</t>
  </si>
  <si>
    <t>when reconciling march enformion, remember we launched 4/17/2018 @3PM PST</t>
  </si>
  <si>
    <t>set up proxy</t>
  </si>
  <si>
    <t>using mc2data @ gmail for shared files, calendars</t>
  </si>
  <si>
    <t>snail mail - check weekly</t>
  </si>
  <si>
    <t>clean up gmail account</t>
  </si>
  <si>
    <t>Switch chat systems? Used only by IT and LC</t>
  </si>
  <si>
    <t>Lower compliance risk</t>
  </si>
  <si>
    <t>Disclosure testing that minimally impacts conversion rates. Cancel funnel testing that is more compliant but maintains a low cancel rate.</t>
  </si>
  <si>
    <t>PO box with registered agent</t>
  </si>
  <si>
    <t>Offer Analysis</t>
  </si>
  <si>
    <t>CSR App 2.0 Bui/Buy</t>
  </si>
  <si>
    <t>Close old chats (24hp....) room</t>
  </si>
  <si>
    <t>UX 2</t>
  </si>
  <si>
    <t>create a new UX 2 (BV) that looks different than UX 1 (used for PR).</t>
  </si>
  <si>
    <t>mc2data @ gmail shared drive</t>
  </si>
  <si>
    <t>Envyus will not link UX1 = UX2, Double serving can increase sales - M</t>
  </si>
  <si>
    <t>SPY</t>
  </si>
  <si>
    <t>Fraud Protection</t>
  </si>
  <si>
    <t>Tools to manage affiliate fraud risk. Build (inidcators like time on site) vs Buy (NS8 or SIFT)</t>
  </si>
  <si>
    <t>Reverse Phone Sales Site</t>
  </si>
  <si>
    <t>Ability to scale and lower CB risk</t>
  </si>
  <si>
    <t>Handwrite a note</t>
  </si>
  <si>
    <t>send test snail mail to Lionel house to see if PO Box is really slow. 3 days!</t>
  </si>
  <si>
    <t>Sales Site 4</t>
  </si>
  <si>
    <t>test snail mail results?</t>
  </si>
  <si>
    <t>Sales Site 5</t>
  </si>
  <si>
    <t>New Brands</t>
  </si>
  <si>
    <r>
      <rPr>
        <color rgb="FF1155CC"/>
        <sz val="8.0"/>
        <u/>
      </rPr>
      <t>weinform.org</t>
    </r>
    <r>
      <rPr>
        <color rgb="FF000000"/>
        <sz val="8.0"/>
      </rPr>
      <t xml:space="preserve"> </t>
    </r>
    <r>
      <rPr>
        <color rgb="FF1155CC"/>
        <sz val="8.0"/>
        <u/>
      </rPr>
      <t>personsearchers.com</t>
    </r>
    <r>
      <rPr>
        <color rgb="FF000000"/>
        <sz val="8.0"/>
      </rPr>
      <t xml:space="preserve"> </t>
    </r>
    <r>
      <rPr>
        <color rgb="FF1155CC"/>
        <sz val="8.0"/>
        <u/>
      </rPr>
      <t>inmatelookup.net</t>
    </r>
  </si>
  <si>
    <t>Sales - H</t>
  </si>
  <si>
    <t>UX 1.5
Platform 1.1</t>
  </si>
  <si>
    <t>UXC Management Tool</t>
  </si>
  <si>
    <t>check with USGA CSR and phone system</t>
  </si>
  <si>
    <t>Prone to errors, hard to see current config, want to re-use content</t>
  </si>
  <si>
    <t>snail mail</t>
  </si>
  <si>
    <t>ID Protection / SPY Features</t>
  </si>
  <si>
    <t>Add ID Protection and SPY to Member site</t>
  </si>
  <si>
    <t>ID / Spy will decrease cancels - L</t>
  </si>
  <si>
    <t>Privacy Maxx contract</t>
  </si>
  <si>
    <t>Platform 1.1</t>
  </si>
  <si>
    <t>Change our code so it's difficult (but not impossible) to link our brands e.g. changing function names</t>
  </si>
  <si>
    <t>Double serving can increase google sales 50% - M</t>
  </si>
  <si>
    <t>Hire Back End Dev, UX2</t>
  </si>
  <si>
    <t>Lower CB rates</t>
  </si>
  <si>
    <t>Descriptor testing, IVR testing, increased CSR hours</t>
  </si>
  <si>
    <t>CSR reporting</t>
  </si>
  <si>
    <t>Integrated CSR</t>
  </si>
  <si>
    <t>New VOIP integrated with our CSR App and the creation of CSR reporting</t>
  </si>
  <si>
    <t>SEO Site</t>
  </si>
  <si>
    <t>Build out SEO Site with SEO data and SEO enhancements</t>
  </si>
  <si>
    <t>SEO site will generate 10% more sales - M</t>
  </si>
  <si>
    <t>Hire SEO Team - Mgr + 1</t>
  </si>
  <si>
    <t>InmateLookup.net</t>
  </si>
  <si>
    <t>Clone PrisonPro.com. Add Inmate Data and Services to Member site / create IML as an Imate focused site</t>
  </si>
  <si>
    <t>Inmate features will decrease cancels for 13% of our members - M</t>
  </si>
  <si>
    <t>see what we learn from Inmate Hack</t>
  </si>
  <si>
    <t>Add strong Property Data to Member site</t>
  </si>
  <si>
    <t>Prop Data will decrease cancels - L</t>
  </si>
  <si>
    <t>Add Unclaimed Funds UX with scraped data to Membersite</t>
  </si>
  <si>
    <t>Unclaimed Funds will decrease cancels - M</t>
  </si>
  <si>
    <t>Data Platform 2.1</t>
  </si>
  <si>
    <t>Change our data platform to support (phase 1) Supplemental Data, Pull on Demand</t>
  </si>
  <si>
    <t>Improved data will lower cancel rates, lower refunds - M</t>
  </si>
  <si>
    <t>Hire Data Team - Mgr + 1</t>
  </si>
  <si>
    <t>Data Platform 2.2</t>
  </si>
  <si>
    <t>Change our data platform to support (phase 2) Manual Scraping, Scraping</t>
  </si>
  <si>
    <t>Data Platform 2.3</t>
  </si>
  <si>
    <t>Change our data platform to support (phase 3) Backup Data</t>
  </si>
  <si>
    <t>SafeForKids.net</t>
  </si>
  <si>
    <r>
      <rPr>
        <color rgb="FF000000"/>
        <sz val="8.0"/>
      </rPr>
      <t xml:space="preserve">Clone </t>
    </r>
    <r>
      <rPr>
        <color rgb="FF1155CC"/>
        <sz val="8.0"/>
        <u/>
      </rPr>
      <t>KidsLiveSafe.com</t>
    </r>
    <r>
      <rPr>
        <color rgb="FF000000"/>
        <sz val="8.0"/>
      </rPr>
      <t xml:space="preserve"> using Privacy Maxx and Core data </t>
    </r>
    <r>
      <rPr>
        <color rgb="FF1155CC"/>
        <sz val="8.0"/>
        <u/>
      </rPr>
      <t>https://prnt.sc/sxvmx3</t>
    </r>
  </si>
  <si>
    <t>We can grow this mini vertical, which was successful as an Ad on our Membersite - M</t>
  </si>
  <si>
    <t>Gateway</t>
  </si>
  <si>
    <r>
      <rPr>
        <color rgb="FF000000"/>
        <sz val="8.0"/>
      </rPr>
      <t xml:space="preserve">Replace Verifi with our own gateway (or ISO gateways?). Use initially for retries. Verifi is expensive </t>
    </r>
    <r>
      <rPr>
        <color rgb="FF1155CC"/>
        <sz val="8.0"/>
        <u/>
      </rPr>
      <t>https://prnt.sc/sxvexp</t>
    </r>
  </si>
  <si>
    <t>We can replicate Verifi's functionality relatively bug-free and renegotiate contract - M</t>
  </si>
  <si>
    <t>Verifi contract</t>
  </si>
  <si>
    <t>Biggest risk is bugs, but will save us $6500/mo</t>
  </si>
  <si>
    <t>CSR Redesign</t>
  </si>
  <si>
    <t>CSR Admin redesign for multi branding</t>
  </si>
  <si>
    <t>CSRs will be more productive, saving costs and refunds. We'll be able to create new tool for CSRs w/o Ops impact- H</t>
  </si>
  <si>
    <t>Sales Site touch ups</t>
  </si>
  <si>
    <r>
      <rPr>
        <color rgb="FF1155CC"/>
        <sz val="8.0"/>
        <u/>
      </rPr>
      <t>https://docs.google.com/document/d/1n4KHDmhv5CtdLh1EfuyTlSiU2RQcTzvzus61eCzIMf8/edit</t>
    </r>
    <r>
      <rPr>
        <color rgb="FF000000"/>
        <sz val="8.0"/>
      </rPr>
      <t xml:space="preserve"> Notification Page, SSI, CPCC, etc</t>
    </r>
  </si>
  <si>
    <t>This will increase CVR% and Retention Rate - L</t>
  </si>
  <si>
    <t>This was part of the Sales Site touch ups project (failure)</t>
  </si>
  <si>
    <t>UXC CMS</t>
  </si>
  <si>
    <r>
      <rPr>
        <color rgb="FF000000"/>
        <sz val="8.0"/>
      </rPr>
      <t xml:space="preserve">Create a new UXC content management tool, replacing </t>
    </r>
    <r>
      <rPr>
        <color rgb="FF1155CC"/>
        <sz val="8.0"/>
        <u/>
      </rPr>
      <t>qa.admin.mc2data.com/admin</t>
    </r>
  </si>
  <si>
    <t>Current CMS is error-prone, not scalable - M</t>
  </si>
  <si>
    <t>Several vendors like QP or BLS</t>
  </si>
  <si>
    <t>Updated cards and better recurring billing</t>
  </si>
  <si>
    <t>Marketing Data</t>
  </si>
  <si>
    <t>Add Marketing Data (e.g. for Lead Gen) as a supplement to our Core data</t>
  </si>
  <si>
    <t>Marketing Data will improve our PDB, which will decrease cancels - L</t>
  </si>
  <si>
    <t>Hire Data Team</t>
  </si>
  <si>
    <t>Phone # on SUP</t>
  </si>
  <si>
    <t>https://gitlab.mc2data.com/root/Dev/issues/372</t>
  </si>
  <si>
    <t>SMS needs phone # on the SUP step 1
Also benefits CSR for caller ID screening</t>
  </si>
  <si>
    <t>SMS will increase sales 3% and not hurt CVR - M</t>
  </si>
  <si>
    <t xml:space="preserve">SMS biggest win, but need to test if phone collection will hurt CVR% first; </t>
  </si>
  <si>
    <t>April 18 Visa</t>
  </si>
  <si>
    <t>Toggle Web cancels for a specific MID</t>
  </si>
  <si>
    <t>We need this capability to satisfy our ISO's - L</t>
  </si>
  <si>
    <t>Reports</t>
  </si>
  <si>
    <t>Reports 2.0</t>
  </si>
  <si>
    <t>Rearchitect our reporting data so it's easier and faster for us to analyze data e.g. retention for DAR(r)</t>
  </si>
  <si>
    <t>Faster reporting will make the company perform better - H</t>
  </si>
  <si>
    <t>Native</t>
  </si>
  <si>
    <t>https://gitlab.mc2data.com/root/Biz/issues/115</t>
  </si>
  <si>
    <t>Launch Native Ads, TV LPs with Env</t>
  </si>
  <si>
    <t>Envyus will get us more traffic with Native - L</t>
  </si>
  <si>
    <t>Monitoring</t>
  </si>
  <si>
    <t>Monitor our systems better to avoid slowdowns, downtime, problems with bugs</t>
  </si>
  <si>
    <t>We have alot of problems - L</t>
  </si>
  <si>
    <t>Angular Universal Tech</t>
  </si>
  <si>
    <t>Convert to a different version of Angular for faster loading our landing page.</t>
  </si>
  <si>
    <t xml:space="preserve">this will speed up the LP for slow phones, and the redirect </t>
  </si>
  <si>
    <t>Benefit</t>
  </si>
  <si>
    <t>Reference</t>
  </si>
  <si>
    <t>MC2 Data entanglements</t>
  </si>
  <si>
    <t>P1</t>
  </si>
  <si>
    <t>MID separation</t>
  </si>
  <si>
    <r>
      <rPr>
        <rFont val="Arial"/>
        <color rgb="FF000000"/>
        <sz val="8.0"/>
      </rPr>
      <t xml:space="preserve">disconnect all companies from each other - see </t>
    </r>
    <r>
      <rPr>
        <rFont val="Arial"/>
        <color rgb="FF1155CC"/>
        <sz val="8.0"/>
        <u/>
      </rPr>
      <t>sunbiz.org</t>
    </r>
  </si>
  <si>
    <t>Hire developers</t>
  </si>
  <si>
    <t>increased throughput</t>
  </si>
  <si>
    <t>CPSSI follow up</t>
  </si>
  <si>
    <t>P2</t>
  </si>
  <si>
    <t>prioritize based on results; increase trans, rev (low...but would need to see perf first)</t>
  </si>
  <si>
    <t>need to see how it's performing; copy and offer optimization</t>
  </si>
  <si>
    <t>https://docs.google.com/spreadsheets/d/1DZjS7Tbuc__RFfwoh6Ml_HB3GSAeIyNW3o4Wg7uNcxE/edit#gid=592304673&amp;range=B1</t>
  </si>
  <si>
    <t>https://prnt.sc/s1r9k6</t>
  </si>
  <si>
    <t>UXC Config</t>
  </si>
  <si>
    <t>LE RR's</t>
  </si>
  <si>
    <t>sales</t>
  </si>
  <si>
    <t>create separate Marriage/Divorce RR vs. Death RR</t>
  </si>
  <si>
    <t>increased priority</t>
  </si>
  <si>
    <t>Additional Resources</t>
  </si>
  <si>
    <t>product value prop</t>
  </si>
  <si>
    <t>Get links for Mini Reports</t>
  </si>
  <si>
    <t>https://docs.google.com/spreadsheets/d/1wkgcpcrqqjjCJip4jtwYWtRg0eeXhf9z6coI1paABoM/edit#gid=132496499&amp;range=A1</t>
  </si>
  <si>
    <t>All</t>
  </si>
  <si>
    <t>Disclosure Testing</t>
  </si>
  <si>
    <t>P3</t>
  </si>
  <si>
    <t>increase compliance, potentially MID capacity</t>
  </si>
  <si>
    <t>combo in step 1, hybrid, upsell</t>
  </si>
  <si>
    <t>https://docs.google.com/spreadsheets/d/1hUQtNsZVSttMFnyUVzESu53KaLqFwIzYgSZBv2o0zVg/edit#gid=2081971423&amp;range=B1</t>
  </si>
  <si>
    <t>https://prnt.sc/s1u0jc</t>
  </si>
  <si>
    <t>rejected by QP but for the FTC, not for Visa</t>
  </si>
  <si>
    <t>Corp Arch</t>
  </si>
  <si>
    <t>WI/PsS/IL</t>
  </si>
  <si>
    <t>sales, merch proc</t>
  </si>
  <si>
    <t>build out brands with content</t>
  </si>
  <si>
    <t>https://docs.google.com/spreadsheets/d/1hHB2qpstdjM1FJGHw-_CHpzYSII0SVMQ8Ct-vjdvwcU/edit#gid=1679836541&amp;range=AE16</t>
  </si>
  <si>
    <t>Conv Pixel</t>
  </si>
  <si>
    <t>optimize ad copy in google</t>
  </si>
  <si>
    <t>google Conv pixel values does not match retention perfectly</t>
  </si>
  <si>
    <t>casP</t>
  </si>
  <si>
    <t>P4</t>
  </si>
  <si>
    <t>P/L</t>
  </si>
  <si>
    <t xml:space="preserve">turn ON casP for affiliates. Alternative is to lower CPA for bad pubs (need to monitor perf). 15618, need to wait for Scrubber. </t>
  </si>
  <si>
    <t>Cal Retention</t>
  </si>
  <si>
    <t>product</t>
  </si>
  <si>
    <t>How many days do our customers stick around for? Used for understanding PMPM fees to data vendors</t>
  </si>
  <si>
    <t>Sales</t>
  </si>
  <si>
    <t>split test cvr</t>
  </si>
  <si>
    <t>challenger = campaign specific RRs</t>
  </si>
  <si>
    <t>Immediate Conv Pixel</t>
  </si>
  <si>
    <t>P5</t>
  </si>
  <si>
    <t>tracking accuracy</t>
  </si>
  <si>
    <t>Immediate campaigns in TROAS account do not track sales conversions perfectly</t>
  </si>
  <si>
    <t>TV site</t>
  </si>
  <si>
    <t>???</t>
  </si>
  <si>
    <t>Remarketing to use Angles</t>
  </si>
  <si>
    <t>Hire HR and Growth Marketer</t>
  </si>
  <si>
    <t>Hiring</t>
  </si>
  <si>
    <t>CSR Support</t>
  </si>
  <si>
    <t>Ads</t>
  </si>
  <si>
    <t>Move off current gateway</t>
  </si>
  <si>
    <t>Cost savings - H</t>
  </si>
  <si>
    <t>Option to scale sales in future - M</t>
  </si>
  <si>
    <t>Dev/IT</t>
  </si>
  <si>
    <t>Platform decision whether we modify CRM internally or migrate to a new one</t>
  </si>
  <si>
    <t>Productivity - M</t>
  </si>
  <si>
    <t>VOIP Migration</t>
  </si>
  <si>
    <t>UX 4</t>
  </si>
  <si>
    <t>New site to handle sales</t>
  </si>
  <si>
    <t>Sales - M</t>
  </si>
  <si>
    <t>UX 5</t>
  </si>
  <si>
    <t>Usable for WIL double serving</t>
  </si>
  <si>
    <t>Sales Site 1.1</t>
  </si>
  <si>
    <t>Sales Site 1.1 (for UX5)</t>
  </si>
  <si>
    <t>Allows us to double serve by changing UX5 backend so it looks different than our current site</t>
  </si>
  <si>
    <t>CRM Email and reporting</t>
  </si>
  <si>
    <t>Email sending from the CSR App and all call reporting metrics in our d/b. Nice to have is a call connector to open up CRM on incoming call</t>
  </si>
  <si>
    <t>Revenue</t>
  </si>
  <si>
    <t>Update cards on file</t>
  </si>
  <si>
    <t>Low cost sales - ML</t>
  </si>
  <si>
    <t>Alternative Ad Networks</t>
  </si>
  <si>
    <t>Market Research and Revenue from ads. Lead gen</t>
  </si>
  <si>
    <t>Advertising - M</t>
  </si>
  <si>
    <t>Ancillary Revenue upselling existing products</t>
  </si>
  <si>
    <t>Revenue or Transactions - M</t>
  </si>
  <si>
    <t>Downsells</t>
  </si>
  <si>
    <t>People trying to cancel that we are trying to save and keep on our service</t>
  </si>
  <si>
    <t>Welcome Back</t>
  </si>
  <si>
    <t>People are expired and are re-logging back in to use the service. Re-selling the product</t>
  </si>
  <si>
    <t>Ability to search public records for lost and forgotten assets</t>
  </si>
  <si>
    <t>Ability to see if a person's information to other services were hacked in a data breach</t>
  </si>
  <si>
    <t>Add strong property data to member site</t>
  </si>
  <si>
    <t>Add ability to search by address</t>
  </si>
  <si>
    <t>DBA/Copy</t>
  </si>
  <si>
    <t>New campaigns where input is phone instead of names</t>
  </si>
  <si>
    <t>Protect against scrapers and true fraud</t>
  </si>
  <si>
    <t>Identity theft protection as an additional feature for members</t>
  </si>
  <si>
    <t>Low cost sales</t>
  </si>
  <si>
    <r>
      <rPr>
        <color rgb="FF000000"/>
        <sz val="8.0"/>
      </rPr>
      <t xml:space="preserve">Clone KidsLiveSafe.com using Privacy Maxx and Core data </t>
    </r>
    <r>
      <rPr>
        <color rgb="FF1155CC"/>
        <sz val="8.0"/>
        <u/>
      </rPr>
      <t>https://prnt.sc/sxvmx3</t>
    </r>
  </si>
  <si>
    <t>Timeline</t>
  </si>
  <si>
    <t>Main Project</t>
  </si>
  <si>
    <t>Benefit with Probability</t>
  </si>
  <si>
    <t>Main Biz Unit</t>
  </si>
  <si>
    <t>Profit</t>
  </si>
  <si>
    <t>Risk</t>
  </si>
  <si>
    <t>Strategic</t>
  </si>
  <si>
    <t>Planned Date</t>
  </si>
  <si>
    <t>Prime MID</t>
  </si>
  <si>
    <t>Less Risk and Merchant Processing - M</t>
  </si>
  <si>
    <t>UX 5.3 and Double Serve Trial</t>
  </si>
  <si>
    <t>Oct</t>
  </si>
  <si>
    <t>Double Serve</t>
  </si>
  <si>
    <t>Increase footprint on search - M</t>
  </si>
  <si>
    <t>Alt Processing Networks (non-TSYS)</t>
  </si>
  <si>
    <t>Statements showing low CB - H</t>
  </si>
  <si>
    <t>CPCC 1.5</t>
  </si>
  <si>
    <t>Nov</t>
  </si>
  <si>
    <t>Retention via better cards - M</t>
  </si>
  <si>
    <t>Optimize push marketing</t>
  </si>
  <si>
    <t>Dec</t>
  </si>
  <si>
    <t>Diversify Marketing Channels/Risk - L</t>
  </si>
  <si>
    <t>Launch Fact Finders</t>
  </si>
  <si>
    <t>FF</t>
  </si>
  <si>
    <t>More product value - M-L</t>
  </si>
  <si>
    <t>Launch ID for everyone</t>
  </si>
  <si>
    <t>Unclaimed Funds deal</t>
  </si>
  <si>
    <t>UCF</t>
  </si>
  <si>
    <t>Launch Unclaimed Funds</t>
  </si>
  <si>
    <t>Data platform to support supplemental sources (scraped/manual)</t>
  </si>
  <si>
    <t>More product value - L-&gt;M</t>
  </si>
  <si>
    <t>Data platform to support backup (core) sources</t>
  </si>
  <si>
    <t>Jan</t>
  </si>
  <si>
    <t>More Sales</t>
  </si>
  <si>
    <t>CSR 2.1 that supports FF</t>
  </si>
  <si>
    <t>Improve SPY and add monitoring</t>
  </si>
  <si>
    <t>Optimize around retention - Google</t>
  </si>
  <si>
    <t>More revenue - L</t>
  </si>
  <si>
    <t>Feb</t>
  </si>
  <si>
    <t>Lower config risk, inc speed of ops - L</t>
  </si>
  <si>
    <t>More flexible reporting - M</t>
  </si>
  <si>
    <t>Optimize Refund Rates</t>
  </si>
  <si>
    <t>Lower risk for same or similar refunds - M-L</t>
  </si>
  <si>
    <t>CB Importing and Reporting</t>
  </si>
  <si>
    <t>Better visibility to risk - H</t>
  </si>
  <si>
    <t>CRM Reporting</t>
  </si>
  <si>
    <t>CSR Platform 2.0</t>
  </si>
  <si>
    <t>Better CSR operations/reporting H</t>
  </si>
  <si>
    <t>Create competitor / third party accounts for DD</t>
  </si>
  <si>
    <t>Ethoca</t>
  </si>
  <si>
    <t>Less RIsk - M</t>
  </si>
  <si>
    <t>FInish Gateway</t>
  </si>
  <si>
    <t>Lower transaction costs - M</t>
  </si>
  <si>
    <t>Call Remarketing</t>
  </si>
  <si>
    <t>More Sales - M-L</t>
  </si>
  <si>
    <t>Fact Finders</t>
  </si>
  <si>
    <t>New Marketing Partners</t>
  </si>
  <si>
    <t>Diversify Marketing Channels/Risk - M</t>
  </si>
  <si>
    <t>Hire Sys Admin</t>
  </si>
  <si>
    <t>Stable servers - M-L</t>
  </si>
  <si>
    <t>Mar</t>
  </si>
  <si>
    <t>Social Search</t>
  </si>
  <si>
    <t>Ability to do a social search in the membersite and get a social mini report</t>
  </si>
  <si>
    <t>Email and property search</t>
  </si>
  <si>
    <t>Ability to get email and property reports</t>
  </si>
  <si>
    <t>Assumption - with probability</t>
  </si>
  <si>
    <t>Prio</t>
  </si>
  <si>
    <t>Date</t>
  </si>
  <si>
    <t>Merch Proc</t>
  </si>
  <si>
    <t>Lower Costs</t>
  </si>
  <si>
    <t>Jetpay et al, after CPSSI lowers CB ratios</t>
  </si>
  <si>
    <t>ISO's will lower rates with lower CB Ratios - M</t>
  </si>
  <si>
    <t>VH</t>
  </si>
  <si>
    <t>Need to wait for April statement, with lower CB ratio due to CPSSI. We pay ~$45K/mo so a 10% savings is $5K/mo</t>
  </si>
  <si>
    <t>hide</t>
  </si>
  <si>
    <t>More MIDs</t>
  </si>
  <si>
    <t>Get MIDs for PS, PS123, BC</t>
  </si>
  <si>
    <t>ISO's will provide MIDs with LaC signature, new corp - H</t>
  </si>
  <si>
    <t>Will require a new entity. New oppty = CWAMS, BLS, STRONG</t>
  </si>
  <si>
    <t>Growth</t>
  </si>
  <si>
    <t>PS</t>
  </si>
  <si>
    <t>https://gitlab.mc2data.com/root/Dev/issues/347#note_5150</t>
  </si>
  <si>
    <t>Launch new PS site in google (comprehensive)</t>
  </si>
  <si>
    <t>We can acquire low CPA sales for a 2nd brand in google - M</t>
  </si>
  <si>
    <t>Product, MC</t>
  </si>
  <si>
    <t>Requires product, merchant proc, CSR, etc (lots of things). Need launch strategy. Names/PS? Immediate? Upper HHI demo? Do we try ROAS on this, which means we would need the S1.x pixel? https://docs.google.com/spreadsheets/d/1DZjS7Tbuc__RFfwoh6Ml_HB3GSAeIyNW3o4Wg7uNcxE/edit#gid=1101665376&amp;range=A1</t>
  </si>
  <si>
    <t>Router</t>
  </si>
  <si>
    <t>Ability to move traffic from brand to brand before signup</t>
  </si>
  <si>
    <t xml:space="preserve">Since google is shutting down LE, we need channels for LE kw's, possibly with TV. </t>
  </si>
  <si>
    <t>We can generate LE traffic outside of google - L</t>
  </si>
  <si>
    <t>Very difficult. Try FB, Bing, Env, Fluent</t>
  </si>
  <si>
    <t>H</t>
  </si>
  <si>
    <t>June 1 - 15</t>
  </si>
  <si>
    <t>MC, Product, Tech</t>
  </si>
  <si>
    <t>CPCC</t>
  </si>
  <si>
    <t>https://gitlab.mc2data.com/root/Biz/issues/90</t>
  </si>
  <si>
    <t>Collect 2nd card for billing</t>
  </si>
  <si>
    <t>Members will enter a new payment card after sign up - L</t>
  </si>
  <si>
    <t>Product, Tech</t>
  </si>
  <si>
    <t>Spec = https://docs.google.com/document/d/1-WznWg-eXFoTluoOQ9nrTDvRAUEqO5O4mAlzc_WyMJo/edit</t>
  </si>
  <si>
    <t>CPSSI</t>
  </si>
  <si>
    <t>https://gitlab.mc2data.com/root/Dev/issues/4</t>
  </si>
  <si>
    <t>Optimize trans adders beyond what we have now, and include 5-day trial</t>
  </si>
  <si>
    <t>We can do trans adders very aggressively (wrong...only semi-aggressively with 4x $1 trans = SUP, SSI, 2x CPSSI) and not get caught - M</t>
  </si>
  <si>
    <t>This is just for the incremental phase 2 work, 1/2 of which is spec'd in CPCC (casD part)</t>
  </si>
  <si>
    <t>Scrubber</t>
  </si>
  <si>
    <t>NEW</t>
  </si>
  <si>
    <t>we know this works</t>
  </si>
  <si>
    <t xml:space="preserve">A flexible way to scrub sales (via casD, casP, BIN, dial controlled by us). CasD already done since we don't trigger the pixel, and don't include in sales email report. Next would be the dial we control. </t>
  </si>
  <si>
    <t>Online dating, NAMES in google, Reverse Phone</t>
  </si>
  <si>
    <t>There are keywords that we are not exposed to - L</t>
  </si>
  <si>
    <t>M</t>
  </si>
  <si>
    <t>Sales Site Adv</t>
  </si>
  <si>
    <t>Advertise on the Sales Site</t>
  </si>
  <si>
    <t>We can advertise without hurting CVR - M</t>
  </si>
  <si>
    <t>Product, RC</t>
  </si>
  <si>
    <t>We'll be able to create new tool for CSRs w/o Ops impact- H</t>
  </si>
  <si>
    <t>Remkt One Signal</t>
  </si>
  <si>
    <r>
      <rPr>
        <rFont val="Calibri"/>
        <strike/>
        <color rgb="FF000000"/>
        <sz val="8.0"/>
      </rPr>
      <t>Personalization via integration,</t>
    </r>
    <r>
      <rPr>
        <rFont val="Calibri"/>
        <color rgb="FF000000"/>
        <sz val="8.0"/>
      </rPr>
      <t xml:space="preserve"> Land on RR/SUP,</t>
    </r>
    <r>
      <rPr>
        <rFont val="Calibri"/>
        <strike/>
        <color rgb="FF000000"/>
        <sz val="8.0"/>
      </rPr>
      <t xml:space="preserve"> more campaigns, UXC config (show me how to modify preloader, single step SUP).</t>
    </r>
    <r>
      <rPr>
        <rFont val="Calibri"/>
        <color rgb="FF000000"/>
        <sz val="8.0"/>
      </rPr>
      <t xml:space="preserve"> Support outcomes if easy to do https://documentation.onesignal.com/docs/outcomes?utm_source=intercom&amp;utm_medium=email&amp;utm_content=button&amp;utm_campaign=intercom-free-onboarding-outcomes</t>
    </r>
  </si>
  <si>
    <t>Personalization increases performance - L</t>
  </si>
  <si>
    <t>Consider using OS for emails. Flow can be seen here https://lionelchin710349.invisionapp.com/freehand/Backup-Files-qOU2ArUBA?v=HcpQlNW%2BeHqzbasz2RVINg%3D%3D&amp;linkshare=urlcopied</t>
  </si>
  <si>
    <t>Remkt SMS</t>
  </si>
  <si>
    <t>SMS needs phone #</t>
  </si>
  <si>
    <t>SMS will work and not hurt CVR - M</t>
  </si>
  <si>
    <t>Affiliate optimization</t>
  </si>
  <si>
    <t>https://gitlab.mc2data.com/root/Dev/issues/383</t>
  </si>
  <si>
    <t>Track fraud, retention by Pub</t>
  </si>
  <si>
    <t>Envyus affiliates will send us bad traffic - L</t>
  </si>
  <si>
    <t>L</t>
  </si>
  <si>
    <t>UXC/UXL for affiliates</t>
  </si>
  <si>
    <t>Notification Page</t>
  </si>
  <si>
    <t>Notification Page that Rick created</t>
  </si>
  <si>
    <t>Indicators Upsell</t>
  </si>
  <si>
    <t>Sell PS report for $0.23, then upsell ala carte items</t>
  </si>
  <si>
    <t>Customers will purchase upsells ala carte - L</t>
  </si>
  <si>
    <t>VL</t>
  </si>
  <si>
    <t>Replace Verifi with our own gateway</t>
  </si>
  <si>
    <t>We can replicate Verifi's functionality relatively bug-free - M</t>
  </si>
  <si>
    <t>Tech, Product</t>
  </si>
  <si>
    <t xml:space="preserve">SEO UXC, Domain mgmt, Logos </t>
  </si>
  <si>
    <t>We can get these things done in our free time</t>
  </si>
  <si>
    <t>These tasks generally don't require Dev work</t>
  </si>
  <si>
    <t>Web cancels ON for a MID, retention for DAR(r), alerts/monitoring</t>
  </si>
  <si>
    <t>Leads Data</t>
  </si>
  <si>
    <t>angular universal tech</t>
  </si>
  <si>
    <t>Retries</t>
  </si>
  <si>
    <t xml:space="preserve">increase revenue, lower Merch Proc costs. </t>
  </si>
  <si>
    <t>Optimize retries for cascades (less attempts)</t>
  </si>
  <si>
    <t>https://docs.google.com/spreadsheets/d/1hHB2qpstdjM1FJGHw-_CHpzYSII0SVMQ8Ct-vjdvwcU/edit#gid=1146213481</t>
  </si>
  <si>
    <t>TV -&gt; PS123</t>
  </si>
  <si>
    <t>Merch Proc capacity</t>
  </si>
  <si>
    <t>move PS sales to PS123 (to free up MP cap space)</t>
  </si>
  <si>
    <t>this seems to perform worse -- makes no sense</t>
  </si>
  <si>
    <t>LTV</t>
  </si>
  <si>
    <t>QA and configure CPCC</t>
  </si>
  <si>
    <t>does this need UX? None needed for launch. Target this build.</t>
  </si>
  <si>
    <r>
      <rPr>
        <rFont val="Arial"/>
        <color rgb="FF000000"/>
        <sz val="8.0"/>
      </rPr>
      <t xml:space="preserve">disconnect all companies from each other - see </t>
    </r>
    <r>
      <rPr>
        <rFont val="Arial"/>
        <color rgb="FF1155CC"/>
        <sz val="8.0"/>
        <u/>
      </rPr>
      <t>sunbiz.org</t>
    </r>
  </si>
  <si>
    <t>AVS</t>
  </si>
  <si>
    <t>lower costs (Merch Proc)</t>
  </si>
  <si>
    <t>turn OFF AVS at Verifi. only for BUSA? if so, will be lower priority (P3)</t>
  </si>
  <si>
    <t>Melissa, Lisa</t>
  </si>
  <si>
    <t>onboard Melissa, Lisa</t>
  </si>
  <si>
    <t>in progress</t>
  </si>
  <si>
    <t>Similar Web</t>
  </si>
  <si>
    <t>get competitive info</t>
  </si>
  <si>
    <t>1 day left on the trial</t>
  </si>
  <si>
    <t>New Logos</t>
  </si>
  <si>
    <t>help BC sales</t>
  </si>
  <si>
    <t>BC, PS123 logos from Melissa added to site, emails, OneSignal</t>
  </si>
  <si>
    <t>Target this build</t>
  </si>
  <si>
    <t>Sales / Reports</t>
  </si>
  <si>
    <t>Billing Failure</t>
  </si>
  <si>
    <t>CPA</t>
  </si>
  <si>
    <t>weekend problem w/ Envyus getting casD, gateway passthru sales. Need to fix monitoring, attribution, tableau report incorrect</t>
  </si>
  <si>
    <t>stories filed</t>
  </si>
  <si>
    <t>explore licensing ID Protect from PrivacyMaxx (raised priority b/c it's so interesting)</t>
  </si>
  <si>
    <t>UXC (all)</t>
  </si>
  <si>
    <t>Remarketing UXC's</t>
  </si>
  <si>
    <t>no loader, RR, single step SUP w/ discount modal, blue box</t>
  </si>
  <si>
    <t>also need to double-check set up</t>
  </si>
  <si>
    <t>Affiliate reporting</t>
  </si>
  <si>
    <t>track LTV for affiliates (regular vs casD)</t>
  </si>
  <si>
    <t>blue price box</t>
  </si>
  <si>
    <t>challenger = SUP step1 w/ discount modal + step 2 w/ blue price box</t>
  </si>
  <si>
    <t>split testing now</t>
  </si>
  <si>
    <t>5-day trial, $1 SUP + $1 SSI + 2x $1 CP</t>
  </si>
  <si>
    <t>Monitor very closely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</si>
</sst>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mm"/>
    <numFmt numFmtId="165" formatCode="m/d/yyyy"/>
    <numFmt numFmtId="166" formatCode="m&quot;/&quot;yyyy"/>
    <numFmt numFmtId="167" formatCode="m/yyyy"/>
    <numFmt numFmtId="168" formatCode="mmmm yyyy"/>
    <numFmt numFmtId="169" formatCode="&quot;$&quot;#,##0"/>
    <numFmt numFmtId="170" formatCode="0.0%"/>
    <numFmt numFmtId="171" formatCode="m&quot;/&quot;d&quot;/&quot;yy"/>
    <numFmt numFmtId="172" formatCode="mmmm d"/>
  </numFmts>
  <fonts count="62">
    <font>
      <sz val="10.0"/>
      <color rgb="FF000000"/>
      <name val="Calibri"/>
      <scheme val="minor"/>
    </font>
    <font>
      <b/>
      <color rgb="FF000000"/>
      <name val="Calibri"/>
      <scheme val="minor"/>
    </font>
    <font>
      <b/>
      <sz val="11.0"/>
      <color rgb="FF000000"/>
      <name val="Calibri"/>
    </font>
    <font>
      <b/>
      <sz val="8.0"/>
      <color rgb="FF000000"/>
      <name val="Calibri"/>
    </font>
    <font>
      <b/>
      <color theme="1"/>
      <name val="Calibri"/>
      <scheme val="minor"/>
    </font>
    <font>
      <b/>
      <color rgb="FF000000"/>
      <name val="Roboto"/>
    </font>
    <font>
      <color theme="1"/>
      <name val="Calibri"/>
      <scheme val="minor"/>
    </font>
    <font>
      <color rgb="FF000000"/>
      <name val="Calibri"/>
      <scheme val="minor"/>
    </font>
    <font>
      <color rgb="FF999999"/>
      <name val="Calibri"/>
      <scheme val="minor"/>
    </font>
    <font>
      <color rgb="FF000000"/>
      <name val="Roboto"/>
    </font>
    <font>
      <color rgb="FF000000"/>
      <name val="Arial"/>
    </font>
    <font>
      <b/>
      <sz val="14.0"/>
      <color rgb="FF000000"/>
      <name val="Calibri"/>
    </font>
    <font>
      <b/>
      <color rgb="FFFF0000"/>
      <name val="Calibri"/>
      <scheme val="minor"/>
    </font>
    <font>
      <sz val="11.0"/>
      <color rgb="FF000000"/>
      <name val="Calibri"/>
    </font>
    <font>
      <sz val="8.0"/>
      <color rgb="FF000000"/>
      <name val="Calibri"/>
    </font>
    <font>
      <sz val="8.0"/>
      <color rgb="FFA5A5A5"/>
      <name val="Calibri"/>
    </font>
    <font>
      <sz val="8.0"/>
      <color rgb="FFBFBFBF"/>
      <name val="Calibri"/>
    </font>
    <font>
      <sz val="8.0"/>
      <color rgb="FF999999"/>
      <name val="Calibri"/>
    </font>
    <font>
      <strike/>
      <sz val="8.0"/>
      <color rgb="FF000000"/>
      <name val="Calibri"/>
    </font>
    <font>
      <i/>
      <color theme="1"/>
      <name val="Calibri"/>
      <scheme val="minor"/>
    </font>
    <font>
      <u/>
      <color rgb="FF0000FF"/>
    </font>
    <font>
      <sz val="8.0"/>
      <color rgb="FF7F7F7F"/>
      <name val="Calibri"/>
    </font>
    <font>
      <u/>
      <sz val="11.0"/>
      <color rgb="FF0563C1"/>
      <name val="Calibri"/>
    </font>
    <font>
      <u/>
      <color rgb="FF000000"/>
      <name val="Roboto"/>
    </font>
    <font>
      <u/>
      <color rgb="FF000000"/>
    </font>
    <font>
      <u/>
      <color rgb="FF000000"/>
    </font>
    <font>
      <sz val="8.0"/>
      <color theme="1"/>
      <name val="Calibri"/>
      <scheme val="minor"/>
    </font>
    <font>
      <u/>
      <color rgb="FF000000"/>
    </font>
    <font>
      <b/>
      <strike/>
      <color theme="1"/>
      <name val="Calibri"/>
      <scheme val="minor"/>
    </font>
    <font>
      <strike/>
      <color theme="1"/>
      <name val="Calibri"/>
      <scheme val="minor"/>
    </font>
    <font>
      <sz val="14.0"/>
      <color rgb="FFFF0000"/>
      <name val="Calibri"/>
      <scheme val="minor"/>
    </font>
    <font>
      <u/>
      <sz val="8.0"/>
      <color rgb="FF000000"/>
      <name val="Calibri"/>
    </font>
    <font>
      <sz val="6.0"/>
      <color rgb="FF000000"/>
      <name val="Calibri"/>
      <scheme val="minor"/>
    </font>
    <font>
      <sz val="8.0"/>
      <color rgb="FF000000"/>
      <name val="Calibri"/>
      <scheme val="minor"/>
    </font>
    <font>
      <u/>
      <sz val="8.0"/>
      <color rgb="FF1155CC"/>
    </font>
    <font>
      <strike/>
      <sz val="8.0"/>
      <color theme="1"/>
      <name val="Calibri"/>
      <scheme val="minor"/>
    </font>
    <font>
      <strike/>
      <sz val="6.0"/>
      <color rgb="FF000000"/>
      <name val="Calibri"/>
      <scheme val="minor"/>
    </font>
    <font>
      <strike/>
      <sz val="8.0"/>
      <color rgb="FF000000"/>
      <name val="Calibri"/>
      <scheme val="minor"/>
    </font>
    <font>
      <strike/>
      <sz val="8.0"/>
      <color rgb="FF000000"/>
    </font>
    <font>
      <u/>
      <sz val="8.0"/>
      <color rgb="FF000000"/>
    </font>
    <font>
      <sz val="6.0"/>
      <color theme="1"/>
      <name val="Calibri"/>
      <scheme val="minor"/>
    </font>
    <font>
      <u/>
      <sz val="8.0"/>
      <color rgb="FF000000"/>
    </font>
    <font>
      <u/>
      <sz val="6.0"/>
      <color rgb="FF0000FF"/>
    </font>
    <font>
      <u/>
      <sz val="6.0"/>
      <color rgb="FF0000FF"/>
    </font>
    <font>
      <u/>
      <sz val="8.0"/>
      <color rgb="FF000000"/>
      <name val="Arial"/>
    </font>
    <font>
      <sz val="8.0"/>
      <color rgb="FF000000"/>
      <name val="Arial"/>
    </font>
    <font>
      <u/>
      <sz val="8.0"/>
      <color rgb="FF000000"/>
    </font>
    <font>
      <u/>
      <sz val="8.0"/>
      <color rgb="FF1155CC"/>
    </font>
    <font>
      <u/>
      <sz val="8.0"/>
      <color rgb="FF000000"/>
    </font>
    <font>
      <b/>
      <color theme="1"/>
      <name val="Calibri"/>
    </font>
    <font>
      <color theme="1"/>
      <name val="Calibri"/>
    </font>
    <font>
      <u/>
      <color rgb="FF1155CC"/>
      <name val="Calibri"/>
    </font>
    <font>
      <strike/>
      <u/>
      <sz val="6.0"/>
      <color rgb="FF0000FF"/>
    </font>
    <font>
      <strike/>
      <u/>
      <sz val="6.0"/>
      <color rgb="FF0000FF"/>
    </font>
    <font>
      <strike/>
      <u/>
      <sz val="6.0"/>
      <color rgb="FF0000FF"/>
    </font>
    <font>
      <u/>
      <sz val="6.0"/>
      <color rgb="FF0000FF"/>
    </font>
    <font>
      <u/>
      <sz val="6.0"/>
      <color rgb="FF0000FF"/>
    </font>
    <font>
      <strike/>
      <sz val="8.0"/>
      <color rgb="FF000000"/>
      <name val="Arial"/>
    </font>
    <font>
      <strike/>
      <u/>
      <sz val="8.0"/>
      <color rgb="FF1155CC"/>
    </font>
    <font>
      <u/>
      <sz val="8.0"/>
      <color rgb="FF000000"/>
      <name val="Arial"/>
    </font>
    <font>
      <u/>
      <sz val="8.0"/>
      <color rgb="FF000000"/>
    </font>
    <font>
      <u/>
      <sz val="8.0"/>
      <color rgb="FF000000"/>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EF2CB"/>
        <bgColor rgb="FFFEF2CB"/>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D9EAD3"/>
        <bgColor rgb="FFD9EAD3"/>
      </patternFill>
    </fill>
    <fill>
      <patternFill patternType="solid">
        <fgColor rgb="FFBDBDBD"/>
        <bgColor rgb="FFBDBDBD"/>
      </patternFill>
    </fill>
  </fills>
  <borders count="2">
    <border/>
    <border>
      <left style="thin">
        <color rgb="FFCFCECE"/>
      </left>
      <right style="thin">
        <color rgb="FFCFCECE"/>
      </right>
      <top style="thin">
        <color rgb="FFCFCECE"/>
      </top>
      <bottom style="thin">
        <color rgb="FFCFCECE"/>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bottom" wrapText="1"/>
    </xf>
    <xf borderId="0" fillId="0" fontId="1" numFmtId="0" xfId="0" applyAlignment="1" applyFont="1">
      <alignment horizontal="center" shrinkToFit="0" wrapText="1"/>
    </xf>
    <xf borderId="1" fillId="0" fontId="3" numFmtId="164" xfId="0" applyAlignment="1" applyBorder="1" applyFont="1" applyNumberFormat="1">
      <alignment horizontal="left" shrinkToFit="0" wrapText="1"/>
    </xf>
    <xf borderId="0" fillId="0" fontId="1" numFmtId="0" xfId="0" applyAlignment="1" applyFont="1">
      <alignment horizontal="left" shrinkToFit="0" wrapText="1"/>
    </xf>
    <xf borderId="0" fillId="0" fontId="4" numFmtId="0" xfId="0" applyFont="1"/>
    <xf borderId="0" fillId="0" fontId="1" numFmtId="0" xfId="0" applyAlignment="1" applyFont="1">
      <alignment horizontal="left" shrinkToFit="0" wrapText="0"/>
    </xf>
    <xf borderId="0" fillId="2" fontId="1" numFmtId="0" xfId="0" applyAlignment="1" applyFill="1" applyFont="1">
      <alignment horizontal="left"/>
    </xf>
    <xf borderId="0" fillId="0" fontId="4" numFmtId="0" xfId="0" applyAlignment="1" applyFont="1">
      <alignment horizontal="right"/>
    </xf>
    <xf borderId="1" fillId="0" fontId="3" numFmtId="165" xfId="0" applyAlignment="1" applyBorder="1" applyFont="1" applyNumberFormat="1">
      <alignment shrinkToFit="0" wrapText="1"/>
    </xf>
    <xf borderId="0" fillId="0" fontId="4" numFmtId="0" xfId="0" applyAlignment="1" applyFont="1">
      <alignment horizontal="center" shrinkToFit="0" wrapText="1"/>
    </xf>
    <xf borderId="0" fillId="0" fontId="1" numFmtId="166" xfId="0" applyFont="1" applyNumberFormat="1"/>
    <xf borderId="0" fillId="3" fontId="5" numFmtId="0" xfId="0" applyFill="1" applyFont="1"/>
    <xf borderId="0" fillId="0" fontId="4" numFmtId="167" xfId="0" applyFont="1" applyNumberFormat="1"/>
    <xf borderId="0" fillId="0" fontId="6" numFmtId="0" xfId="0" applyFont="1"/>
    <xf borderId="0" fillId="0" fontId="7" numFmtId="0" xfId="0" applyFont="1"/>
    <xf borderId="0" fillId="0" fontId="7" numFmtId="0" xfId="0" applyAlignment="1" applyFont="1">
      <alignment horizontal="center" shrinkToFit="0" wrapText="1"/>
    </xf>
    <xf borderId="0" fillId="0" fontId="7" numFmtId="0" xfId="0" applyAlignment="1" applyFont="1">
      <alignment horizontal="left" shrinkToFit="0" wrapText="1"/>
    </xf>
    <xf borderId="0" fillId="0" fontId="6" numFmtId="0" xfId="0" applyAlignment="1" applyFont="1">
      <alignment horizontal="right"/>
    </xf>
    <xf borderId="0" fillId="0" fontId="7" numFmtId="0" xfId="0" applyAlignment="1" applyFont="1">
      <alignment horizontal="left" shrinkToFit="0" wrapText="0"/>
    </xf>
    <xf borderId="0" fillId="0" fontId="6" numFmtId="0" xfId="0" applyAlignment="1" applyFont="1">
      <alignment horizontal="center" shrinkToFit="0" wrapText="1"/>
    </xf>
    <xf borderId="0" fillId="2" fontId="7" numFmtId="0" xfId="0" applyAlignment="1" applyFont="1">
      <alignment horizontal="left"/>
    </xf>
    <xf borderId="0" fillId="0" fontId="8" numFmtId="0" xfId="0" applyFont="1"/>
    <xf borderId="0" fillId="3" fontId="9" numFmtId="0" xfId="0" applyFont="1"/>
    <xf borderId="1" fillId="3" fontId="3" numFmtId="0" xfId="0" applyAlignment="1" applyBorder="1" applyFont="1">
      <alignment shrinkToFit="0" vertical="bottom" wrapText="1"/>
    </xf>
    <xf borderId="1" fillId="3" fontId="2" numFmtId="0" xfId="0" applyAlignment="1" applyBorder="1" applyFont="1">
      <alignment shrinkToFit="0" vertical="bottom" wrapText="1"/>
    </xf>
    <xf borderId="1" fillId="0" fontId="2" numFmtId="0" xfId="0" applyAlignment="1" applyBorder="1" applyFont="1">
      <alignment shrinkToFit="0" vertical="bottom" wrapText="1"/>
    </xf>
    <xf borderId="0" fillId="3" fontId="10" numFmtId="0" xfId="0" applyAlignment="1" applyFont="1">
      <alignment horizontal="left"/>
    </xf>
    <xf borderId="1" fillId="4" fontId="11" numFmtId="0" xfId="0" applyAlignment="1" applyBorder="1" applyFill="1" applyFont="1">
      <alignment shrinkToFit="0" wrapText="1"/>
    </xf>
    <xf borderId="0" fillId="0" fontId="12" numFmtId="0" xfId="0" applyFont="1"/>
    <xf borderId="1" fillId="4" fontId="13" numFmtId="0" xfId="0" applyAlignment="1" applyBorder="1" applyFont="1">
      <alignment shrinkToFit="0" wrapText="1"/>
    </xf>
    <xf borderId="1" fillId="4" fontId="14" numFmtId="0" xfId="0" applyAlignment="1" applyBorder="1" applyFont="1">
      <alignment shrinkToFit="0" wrapText="1"/>
    </xf>
    <xf borderId="1" fillId="4" fontId="15" numFmtId="0" xfId="0" applyAlignment="1" applyBorder="1" applyFont="1">
      <alignment shrinkToFit="0" wrapText="1"/>
    </xf>
    <xf borderId="1" fillId="4" fontId="16" numFmtId="0" xfId="0" applyAlignment="1" applyBorder="1" applyFont="1">
      <alignment shrinkToFit="0" wrapText="1"/>
    </xf>
    <xf borderId="0" fillId="3" fontId="4" numFmtId="0" xfId="0" applyFont="1"/>
    <xf borderId="0" fillId="3" fontId="6" numFmtId="0" xfId="0" applyFont="1"/>
    <xf borderId="1" fillId="4" fontId="13" numFmtId="0" xfId="0" applyAlignment="1" applyBorder="1" applyFont="1">
      <alignment shrinkToFit="0" vertical="bottom" wrapText="1"/>
    </xf>
    <xf borderId="1" fillId="4" fontId="17" numFmtId="0" xfId="0" applyAlignment="1" applyBorder="1" applyFont="1">
      <alignment shrinkToFit="0" wrapText="1"/>
    </xf>
    <xf borderId="0" fillId="5" fontId="4" numFmtId="0" xfId="0" applyFill="1" applyFont="1"/>
    <xf borderId="0" fillId="5" fontId="6" numFmtId="0" xfId="0" applyFont="1"/>
    <xf borderId="0" fillId="5" fontId="4" numFmtId="0" xfId="0" applyAlignment="1" applyFont="1">
      <alignment horizontal="right"/>
    </xf>
    <xf borderId="0" fillId="5" fontId="6" numFmtId="0" xfId="0" applyAlignment="1" applyFont="1">
      <alignment horizontal="center" shrinkToFit="0" wrapText="1"/>
    </xf>
    <xf borderId="1" fillId="4" fontId="18" numFmtId="0" xfId="0" applyAlignment="1" applyBorder="1" applyFont="1">
      <alignment shrinkToFit="0" wrapText="1"/>
    </xf>
    <xf borderId="1" fillId="3" fontId="14" numFmtId="0" xfId="0" applyAlignment="1" applyBorder="1" applyFont="1">
      <alignment shrinkToFit="0" vertical="bottom" wrapText="1"/>
    </xf>
    <xf borderId="1" fillId="3" fontId="13" numFmtId="0" xfId="0" applyAlignment="1" applyBorder="1" applyFont="1">
      <alignment shrinkToFit="0" vertical="bottom" wrapText="1"/>
    </xf>
    <xf borderId="1" fillId="0" fontId="13" numFmtId="0" xfId="0" applyAlignment="1" applyBorder="1" applyFont="1">
      <alignment shrinkToFit="0" vertical="bottom" wrapText="1"/>
    </xf>
    <xf borderId="0" fillId="3" fontId="19" numFmtId="0" xfId="0" applyFont="1"/>
    <xf borderId="0" fillId="0" fontId="20" numFmtId="0" xfId="0" applyFont="1"/>
    <xf borderId="1" fillId="4" fontId="21" numFmtId="0" xfId="0" applyAlignment="1" applyBorder="1" applyFont="1">
      <alignment shrinkToFit="0" wrapText="1"/>
    </xf>
    <xf borderId="0" fillId="0" fontId="19" numFmtId="0" xfId="0" applyFont="1"/>
    <xf borderId="1" fillId="4" fontId="14" numFmtId="0" xfId="0" applyAlignment="1" applyBorder="1" applyFont="1">
      <alignment shrinkToFit="0" vertical="bottom" wrapText="1"/>
    </xf>
    <xf borderId="1" fillId="4" fontId="22" numFmtId="0" xfId="0" applyAlignment="1" applyBorder="1" applyFont="1">
      <alignment shrinkToFit="0" wrapText="1"/>
    </xf>
    <xf borderId="0" fillId="0" fontId="7" numFmtId="0" xfId="0" applyAlignment="1" applyFont="1">
      <alignment shrinkToFit="0" wrapText="1"/>
    </xf>
    <xf borderId="0" fillId="3" fontId="9" numFmtId="0" xfId="0" applyAlignment="1" applyFont="1">
      <alignment shrinkToFit="0" wrapText="0"/>
    </xf>
    <xf borderId="0" fillId="3" fontId="10" numFmtId="0" xfId="0" applyAlignment="1" applyFont="1">
      <alignment horizontal="left" shrinkToFit="0" wrapText="1"/>
    </xf>
    <xf borderId="0" fillId="3" fontId="23" numFmtId="0" xfId="0" applyAlignment="1" applyFont="1">
      <alignment shrinkToFit="0" wrapText="0"/>
    </xf>
    <xf borderId="0" fillId="0" fontId="24" numFmtId="0" xfId="0" applyAlignment="1" applyFont="1">
      <alignment horizontal="left" shrinkToFit="0" wrapText="0"/>
    </xf>
    <xf borderId="1" fillId="0" fontId="11" numFmtId="0" xfId="0" applyAlignment="1" applyBorder="1" applyFont="1">
      <alignment shrinkToFit="0" wrapText="1"/>
    </xf>
    <xf borderId="1" fillId="0" fontId="13" numFmtId="0" xfId="0" applyAlignment="1" applyBorder="1" applyFont="1">
      <alignment shrinkToFit="0" wrapText="1"/>
    </xf>
    <xf borderId="1" fillId="0" fontId="15" numFmtId="0" xfId="0" applyAlignment="1" applyBorder="1" applyFont="1">
      <alignment shrinkToFit="0" wrapText="1"/>
    </xf>
    <xf borderId="1" fillId="0" fontId="14" numFmtId="0" xfId="0" applyAlignment="1" applyBorder="1" applyFont="1">
      <alignment shrinkToFit="0" wrapText="1"/>
    </xf>
    <xf borderId="1" fillId="0" fontId="14" numFmtId="0" xfId="0" applyAlignment="1" applyBorder="1" applyFont="1">
      <alignment shrinkToFit="0" vertical="bottom" wrapText="1"/>
    </xf>
    <xf borderId="1" fillId="3" fontId="14" numFmtId="0" xfId="0" applyAlignment="1" applyBorder="1" applyFont="1">
      <alignment shrinkToFit="0" wrapText="1"/>
    </xf>
    <xf borderId="1" fillId="3" fontId="17" numFmtId="0" xfId="0" applyAlignment="1" applyBorder="1" applyFont="1">
      <alignment shrinkToFit="0" wrapText="1"/>
    </xf>
    <xf borderId="1" fillId="3" fontId="18" numFmtId="0" xfId="0" applyAlignment="1" applyBorder="1" applyFont="1">
      <alignment shrinkToFit="0" wrapText="1"/>
    </xf>
    <xf borderId="1" fillId="3" fontId="16" numFmtId="0" xfId="0" applyAlignment="1" applyBorder="1" applyFont="1">
      <alignment shrinkToFit="0" wrapText="1"/>
    </xf>
    <xf borderId="0" fillId="0" fontId="25" numFmtId="0" xfId="0" applyFont="1"/>
    <xf borderId="1" fillId="3" fontId="15" numFmtId="0" xfId="0" applyAlignment="1" applyBorder="1" applyFont="1">
      <alignment shrinkToFit="0" wrapText="1"/>
    </xf>
    <xf borderId="1" fillId="3" fontId="18" numFmtId="10" xfId="0" applyAlignment="1" applyBorder="1" applyFont="1" applyNumberFormat="1">
      <alignment shrinkToFit="0" wrapText="1"/>
    </xf>
    <xf borderId="1" fillId="0" fontId="16" numFmtId="0" xfId="0" applyAlignment="1" applyBorder="1" applyFont="1">
      <alignment shrinkToFit="0" wrapText="1"/>
    </xf>
    <xf borderId="1" fillId="0" fontId="17" numFmtId="0" xfId="0" applyAlignment="1" applyBorder="1" applyFont="1">
      <alignment shrinkToFit="0" wrapText="1"/>
    </xf>
    <xf borderId="0" fillId="5" fontId="6" numFmtId="168" xfId="0" applyAlignment="1" applyFont="1" applyNumberFormat="1">
      <alignment shrinkToFit="0" wrapText="0"/>
    </xf>
    <xf borderId="0" fillId="0" fontId="6" numFmtId="0" xfId="0" applyAlignment="1" applyFont="1">
      <alignment horizontal="center"/>
    </xf>
    <xf borderId="0" fillId="0" fontId="4" numFmtId="0" xfId="0" applyAlignment="1" applyFont="1">
      <alignment shrinkToFit="0" wrapText="0"/>
    </xf>
    <xf borderId="0" fillId="0" fontId="6" numFmtId="0" xfId="0" applyAlignment="1" applyFont="1">
      <alignment shrinkToFit="0" wrapText="0"/>
    </xf>
    <xf borderId="0" fillId="0" fontId="26" numFmtId="0" xfId="0" applyAlignment="1" applyFont="1">
      <alignment shrinkToFit="0" wrapText="0"/>
    </xf>
    <xf borderId="0" fillId="3" fontId="1" numFmtId="0" xfId="0" applyFont="1"/>
    <xf borderId="0" fillId="3" fontId="7" numFmtId="0" xfId="0" applyFont="1"/>
    <xf borderId="0" fillId="3" fontId="7" numFmtId="0" xfId="0" applyAlignment="1" applyFont="1">
      <alignment horizontal="center" shrinkToFit="0" wrapText="1"/>
    </xf>
    <xf borderId="0" fillId="3" fontId="7" numFmtId="0" xfId="0" applyAlignment="1" applyFont="1">
      <alignment horizontal="left" shrinkToFit="0" wrapText="0"/>
    </xf>
    <xf borderId="0" fillId="0" fontId="4" numFmtId="0" xfId="0" applyAlignment="1" applyFont="1">
      <alignment horizontal="center"/>
    </xf>
    <xf borderId="0" fillId="6" fontId="6" numFmtId="0" xfId="0" applyAlignment="1" applyFill="1" applyFont="1">
      <alignment shrinkToFit="0" wrapText="0"/>
    </xf>
    <xf borderId="0" fillId="0" fontId="6" numFmtId="169" xfId="0" applyFont="1" applyNumberFormat="1"/>
    <xf borderId="0" fillId="3" fontId="7" numFmtId="0" xfId="0" applyAlignment="1" applyFont="1">
      <alignment horizontal="left" shrinkToFit="0" wrapText="1"/>
    </xf>
    <xf borderId="0" fillId="0" fontId="6" numFmtId="169" xfId="0" applyAlignment="1" applyFont="1" applyNumberFormat="1">
      <alignment horizontal="left"/>
    </xf>
    <xf borderId="0" fillId="0" fontId="6" numFmtId="169" xfId="0" applyAlignment="1" applyFont="1" applyNumberFormat="1">
      <alignment horizontal="center"/>
    </xf>
    <xf borderId="0" fillId="0" fontId="6" numFmtId="10" xfId="0" applyAlignment="1" applyFont="1" applyNumberFormat="1">
      <alignment horizontal="center"/>
    </xf>
    <xf borderId="0" fillId="0" fontId="7" numFmtId="169" xfId="0" applyAlignment="1" applyFont="1" applyNumberFormat="1">
      <alignment horizontal="center"/>
    </xf>
    <xf borderId="0" fillId="0" fontId="6" numFmtId="0" xfId="0" applyAlignment="1" applyFont="1">
      <alignment horizontal="center" shrinkToFit="0" wrapText="0"/>
    </xf>
    <xf borderId="0" fillId="0" fontId="6" numFmtId="0" xfId="0" applyAlignment="1" applyFont="1">
      <alignment horizontal="left"/>
    </xf>
    <xf borderId="1" fillId="4" fontId="3" numFmtId="0" xfId="0" applyAlignment="1" applyBorder="1" applyFont="1">
      <alignment shrinkToFit="0" wrapText="1"/>
    </xf>
    <xf borderId="0" fillId="0" fontId="4" numFmtId="169" xfId="0" applyAlignment="1" applyFont="1" applyNumberFormat="1">
      <alignment horizontal="left"/>
    </xf>
    <xf borderId="0" fillId="0" fontId="4" numFmtId="169" xfId="0" applyAlignment="1" applyFont="1" applyNumberFormat="1">
      <alignment horizontal="center"/>
    </xf>
    <xf borderId="0" fillId="0" fontId="4" numFmtId="10" xfId="0" applyAlignment="1" applyFont="1" applyNumberFormat="1">
      <alignment horizontal="center"/>
    </xf>
    <xf borderId="0" fillId="0" fontId="6" numFmtId="0" xfId="0" applyAlignment="1" applyFont="1">
      <alignment shrinkToFit="0" wrapText="1"/>
    </xf>
    <xf borderId="0" fillId="0" fontId="27" numFmtId="0" xfId="0" applyAlignment="1" applyFont="1">
      <alignment horizontal="left" shrinkToFit="0" wrapText="1"/>
    </xf>
    <xf borderId="1" fillId="3" fontId="21" numFmtId="0" xfId="0" applyAlignment="1" applyBorder="1" applyFont="1">
      <alignment shrinkToFit="0" wrapText="1"/>
    </xf>
    <xf borderId="1" fillId="0" fontId="21" numFmtId="0" xfId="0" applyAlignment="1" applyBorder="1" applyFont="1">
      <alignment shrinkToFit="0" wrapText="1"/>
    </xf>
    <xf borderId="1" fillId="0" fontId="18" numFmtId="0" xfId="0" applyAlignment="1" applyBorder="1" applyFont="1">
      <alignment shrinkToFit="0" wrapText="1"/>
    </xf>
    <xf borderId="0" fillId="0" fontId="4" numFmtId="0" xfId="0" applyAlignment="1" applyFont="1">
      <alignment horizontal="left"/>
    </xf>
    <xf borderId="0" fillId="0" fontId="6" numFmtId="170" xfId="0" applyAlignment="1" applyFont="1" applyNumberFormat="1">
      <alignment horizontal="left"/>
    </xf>
    <xf borderId="0" fillId="0" fontId="6" numFmtId="9" xfId="0" applyFont="1" applyNumberFormat="1"/>
    <xf borderId="0" fillId="7" fontId="6" numFmtId="0" xfId="0" applyFill="1" applyFont="1"/>
    <xf borderId="0" fillId="8" fontId="6" numFmtId="0" xfId="0" applyFill="1" applyFont="1"/>
    <xf borderId="0" fillId="0" fontId="28" numFmtId="0" xfId="0" applyFont="1"/>
    <xf borderId="0" fillId="0" fontId="29" numFmtId="0" xfId="0" applyFont="1"/>
    <xf borderId="0" fillId="7" fontId="29" numFmtId="0" xfId="0" applyFont="1"/>
    <xf borderId="0" fillId="0" fontId="29" numFmtId="170" xfId="0" applyAlignment="1" applyFont="1" applyNumberFormat="1">
      <alignment horizontal="left"/>
    </xf>
    <xf borderId="0" fillId="0" fontId="29" numFmtId="0" xfId="0" applyAlignment="1" applyFont="1">
      <alignment horizontal="center"/>
    </xf>
    <xf borderId="1" fillId="0" fontId="17" numFmtId="0" xfId="0" applyAlignment="1" applyBorder="1" applyFont="1">
      <alignment shrinkToFit="0" vertical="bottom" wrapText="1"/>
    </xf>
    <xf borderId="0" fillId="0" fontId="30" numFmtId="0" xfId="0" applyAlignment="1" applyFont="1">
      <alignment shrinkToFit="0" wrapText="0"/>
    </xf>
    <xf borderId="0" fillId="3" fontId="1" numFmtId="0" xfId="0" applyAlignment="1" applyFont="1">
      <alignment horizontal="left" shrinkToFit="0" wrapText="1"/>
    </xf>
    <xf borderId="0" fillId="0" fontId="4" numFmtId="9" xfId="0" applyAlignment="1" applyFont="1" applyNumberFormat="1">
      <alignment horizontal="left" shrinkToFit="0" wrapText="1"/>
    </xf>
    <xf borderId="0" fillId="0" fontId="4" numFmtId="0" xfId="0" applyAlignment="1" applyFont="1">
      <alignment horizontal="left" shrinkToFit="0" wrapText="1"/>
    </xf>
    <xf borderId="0" fillId="0" fontId="4" numFmtId="0" xfId="0" applyAlignment="1" applyFont="1">
      <alignment shrinkToFit="0" wrapText="1"/>
    </xf>
    <xf borderId="0" fillId="9" fontId="4" numFmtId="0" xfId="0" applyAlignment="1" applyFill="1" applyFont="1">
      <alignment shrinkToFit="0" wrapText="1"/>
    </xf>
    <xf borderId="0" fillId="9" fontId="1" numFmtId="0" xfId="0" applyAlignment="1" applyFont="1">
      <alignment horizontal="left" shrinkToFit="0" wrapText="1"/>
    </xf>
    <xf borderId="1" fillId="4" fontId="31" numFmtId="0" xfId="0" applyAlignment="1" applyBorder="1" applyFont="1">
      <alignment shrinkToFit="0" wrapText="1"/>
    </xf>
    <xf borderId="0" fillId="9" fontId="4" numFmtId="9" xfId="0" applyAlignment="1" applyFont="1" applyNumberFormat="1">
      <alignment horizontal="left" shrinkToFit="0" wrapText="1"/>
    </xf>
    <xf borderId="0" fillId="9" fontId="4" numFmtId="0" xfId="0" applyAlignment="1" applyFont="1">
      <alignment horizontal="left" shrinkToFit="0" wrapText="1"/>
    </xf>
    <xf borderId="0" fillId="0" fontId="30" numFmtId="0" xfId="0" applyAlignment="1" applyFont="1">
      <alignment readingOrder="0" shrinkToFit="0" wrapText="0"/>
    </xf>
    <xf borderId="0" fillId="3" fontId="1" numFmtId="171" xfId="0" applyAlignment="1" applyFont="1" applyNumberFormat="1">
      <alignment horizontal="left" shrinkToFit="0" wrapText="1"/>
    </xf>
    <xf borderId="0" fillId="3" fontId="26" numFmtId="0" xfId="0" applyAlignment="1" applyFont="1">
      <alignment shrinkToFit="0" wrapText="1"/>
    </xf>
    <xf borderId="0" fillId="3" fontId="32" numFmtId="0" xfId="0" applyAlignment="1" applyFont="1">
      <alignment horizontal="left" shrinkToFit="0" wrapText="1"/>
    </xf>
    <xf borderId="0" fillId="3" fontId="33" numFmtId="0" xfId="0" applyAlignment="1" applyFont="1">
      <alignment horizontal="left" shrinkToFit="0" wrapText="1"/>
    </xf>
    <xf borderId="0" fillId="9" fontId="4" numFmtId="0" xfId="0" applyAlignment="1" applyFont="1">
      <alignment readingOrder="0" shrinkToFit="0" wrapText="1"/>
    </xf>
    <xf borderId="0" fillId="9" fontId="1" numFmtId="171" xfId="0" applyAlignment="1" applyFont="1" applyNumberFormat="1">
      <alignment horizontal="left" readingOrder="0" shrinkToFit="0" wrapText="1"/>
    </xf>
    <xf borderId="0" fillId="9" fontId="1" numFmtId="0" xfId="0" applyAlignment="1" applyFont="1">
      <alignment horizontal="left" readingOrder="0" shrinkToFit="0" wrapText="1"/>
    </xf>
    <xf borderId="0" fillId="9" fontId="4" numFmtId="0" xfId="0" applyAlignment="1" applyFont="1">
      <alignment horizontal="left" readingOrder="0" shrinkToFit="0" wrapText="1"/>
    </xf>
    <xf borderId="0" fillId="3" fontId="26" numFmtId="0" xfId="0" applyAlignment="1" applyFont="1">
      <alignment readingOrder="0" shrinkToFit="0" wrapText="1"/>
    </xf>
    <xf borderId="0" fillId="3" fontId="32" numFmtId="171" xfId="0" applyAlignment="1" applyFont="1" applyNumberFormat="1">
      <alignment horizontal="left" readingOrder="0" shrinkToFit="0" wrapText="1"/>
    </xf>
    <xf borderId="0" fillId="3" fontId="33" numFmtId="0" xfId="0" applyAlignment="1" applyFont="1">
      <alignment horizontal="left" readingOrder="0" shrinkToFit="0" wrapText="1"/>
    </xf>
    <xf borderId="0" fillId="3" fontId="26" numFmtId="0" xfId="0" applyAlignment="1" applyFont="1">
      <alignment horizontal="left" shrinkToFit="0" wrapText="1"/>
    </xf>
    <xf borderId="0" fillId="2" fontId="26" numFmtId="0" xfId="0" applyAlignment="1" applyFont="1">
      <alignment shrinkToFit="0" wrapText="1"/>
    </xf>
    <xf borderId="0" fillId="2" fontId="32" numFmtId="0" xfId="0" applyAlignment="1" applyFont="1">
      <alignment horizontal="left" shrinkToFit="0" wrapText="1"/>
    </xf>
    <xf borderId="0" fillId="2" fontId="33" numFmtId="0" xfId="0" applyAlignment="1" applyFont="1">
      <alignment horizontal="left" shrinkToFit="0" wrapText="1"/>
    </xf>
    <xf borderId="0" fillId="2" fontId="26" numFmtId="0" xfId="0" applyAlignment="1" applyFont="1">
      <alignment horizontal="left" shrinkToFit="0" wrapText="1"/>
    </xf>
    <xf borderId="0" fillId="3" fontId="34" numFmtId="0" xfId="0" applyAlignment="1" applyFont="1">
      <alignment shrinkToFit="0" wrapText="1"/>
    </xf>
    <xf borderId="0" fillId="3" fontId="26" numFmtId="9" xfId="0" applyAlignment="1" applyFont="1" applyNumberFormat="1">
      <alignment horizontal="left" shrinkToFit="0" wrapText="1"/>
    </xf>
    <xf borderId="0" fillId="3" fontId="26" numFmtId="0" xfId="0" applyAlignment="1" applyFont="1">
      <alignment horizontal="left" readingOrder="0" shrinkToFit="0" wrapText="1"/>
    </xf>
    <xf borderId="0" fillId="3" fontId="35" numFmtId="0" xfId="0" applyAlignment="1" applyFont="1">
      <alignment shrinkToFit="0" wrapText="1"/>
    </xf>
    <xf borderId="0" fillId="3" fontId="36" numFmtId="0" xfId="0" applyAlignment="1" applyFont="1">
      <alignment horizontal="left" shrinkToFit="0" wrapText="1"/>
    </xf>
    <xf borderId="0" fillId="3" fontId="37" numFmtId="0" xfId="0" applyAlignment="1" applyFont="1">
      <alignment horizontal="left" shrinkToFit="0" wrapText="1"/>
    </xf>
    <xf borderId="0" fillId="3" fontId="35" numFmtId="9" xfId="0" applyAlignment="1" applyFont="1" applyNumberFormat="1">
      <alignment horizontal="left" shrinkToFit="0" wrapText="1"/>
    </xf>
    <xf borderId="0" fillId="3" fontId="35" numFmtId="0" xfId="0" applyAlignment="1" applyFont="1">
      <alignment horizontal="left" shrinkToFit="0" wrapText="1"/>
    </xf>
    <xf borderId="1" fillId="4" fontId="17" numFmtId="0" xfId="0" applyAlignment="1" applyBorder="1" applyFont="1">
      <alignment shrinkToFit="0" vertical="bottom" wrapText="1"/>
    </xf>
    <xf borderId="0" fillId="0" fontId="29" numFmtId="0" xfId="0" applyFont="1"/>
    <xf borderId="0" fillId="2" fontId="35" numFmtId="0" xfId="0" applyAlignment="1" applyFont="1">
      <alignment shrinkToFit="0" wrapText="1"/>
    </xf>
    <xf borderId="0" fillId="2" fontId="36" numFmtId="0" xfId="0" applyAlignment="1" applyFont="1">
      <alignment horizontal="left" shrinkToFit="0" wrapText="1"/>
    </xf>
    <xf borderId="0" fillId="2" fontId="38" numFmtId="0" xfId="0" applyAlignment="1" applyFont="1">
      <alignment horizontal="left" shrinkToFit="0" wrapText="1"/>
    </xf>
    <xf borderId="0" fillId="2" fontId="37" numFmtId="0" xfId="0" applyAlignment="1" applyFont="1">
      <alignment horizontal="left" shrinkToFit="0" wrapText="1"/>
    </xf>
    <xf borderId="0" fillId="2" fontId="35" numFmtId="9" xfId="0" applyAlignment="1" applyFont="1" applyNumberFormat="1">
      <alignment horizontal="left" shrinkToFit="0" wrapText="1"/>
    </xf>
    <xf borderId="0" fillId="2" fontId="35" numFmtId="0" xfId="0" applyAlignment="1" applyFont="1">
      <alignment horizontal="left" shrinkToFit="0" wrapText="1"/>
    </xf>
    <xf borderId="0" fillId="0" fontId="6" numFmtId="0" xfId="0" applyAlignment="1" applyFont="1">
      <alignment readingOrder="0" shrinkToFit="0" wrapText="1"/>
    </xf>
    <xf borderId="0" fillId="2" fontId="26" numFmtId="9" xfId="0" applyAlignment="1" applyFont="1" applyNumberFormat="1">
      <alignment horizontal="left" shrinkToFit="0" wrapText="1"/>
    </xf>
    <xf borderId="1" fillId="4" fontId="18" numFmtId="0" xfId="0" applyAlignment="1" applyBorder="1" applyFont="1">
      <alignment shrinkToFit="0" vertical="bottom" wrapText="1"/>
    </xf>
    <xf borderId="0" fillId="3" fontId="32" numFmtId="171" xfId="0" applyAlignment="1" applyFont="1" applyNumberFormat="1">
      <alignment horizontal="left" shrinkToFit="0" wrapText="1"/>
    </xf>
    <xf borderId="0" fillId="3" fontId="32" numFmtId="0" xfId="0" applyAlignment="1" applyFont="1">
      <alignment horizontal="left" shrinkToFit="0" wrapText="0"/>
    </xf>
    <xf borderId="0" fillId="7" fontId="26" numFmtId="0" xfId="0" applyAlignment="1" applyFont="1">
      <alignment shrinkToFit="0" wrapText="1"/>
    </xf>
    <xf borderId="0" fillId="3" fontId="39" numFmtId="0" xfId="0" applyAlignment="1" applyFont="1">
      <alignment horizontal="left" shrinkToFit="0" wrapText="1"/>
    </xf>
    <xf borderId="0" fillId="7" fontId="33" numFmtId="0" xfId="0" applyAlignment="1" applyFont="1">
      <alignment horizontal="left" shrinkToFit="0" wrapText="1"/>
    </xf>
    <xf borderId="0" fillId="2" fontId="32" numFmtId="0" xfId="0" applyAlignment="1" applyFont="1">
      <alignment horizontal="left" shrinkToFit="0" wrapText="0"/>
    </xf>
    <xf borderId="0" fillId="0" fontId="6" numFmtId="171" xfId="0" applyAlignment="1" applyFont="1" applyNumberFormat="1">
      <alignment shrinkToFit="0" wrapText="1"/>
    </xf>
    <xf borderId="0" fillId="3" fontId="40" numFmtId="0" xfId="0" applyAlignment="1" applyFont="1">
      <alignment shrinkToFit="0" wrapText="1"/>
    </xf>
    <xf borderId="0" fillId="2" fontId="41" numFmtId="0" xfId="0" applyAlignment="1" applyFont="1">
      <alignment horizontal="left" shrinkToFit="0" wrapText="1"/>
    </xf>
    <xf borderId="0" fillId="2" fontId="42" numFmtId="0" xfId="0" applyAlignment="1" applyFont="1">
      <alignment shrinkToFit="0" wrapText="1"/>
    </xf>
    <xf borderId="0" fillId="3" fontId="43" numFmtId="0" xfId="0" applyAlignment="1" applyFont="1">
      <alignment shrinkToFit="0" wrapText="1"/>
    </xf>
    <xf borderId="0" fillId="0" fontId="1" numFmtId="0" xfId="0" applyAlignment="1" applyFont="1">
      <alignment shrinkToFit="0" wrapText="1"/>
    </xf>
    <xf borderId="0" fillId="3" fontId="1" numFmtId="0" xfId="0" applyAlignment="1" applyFont="1">
      <alignment shrinkToFit="0" wrapText="0"/>
    </xf>
    <xf borderId="0" fillId="0" fontId="1" numFmtId="9" xfId="0" applyAlignment="1" applyFont="1" applyNumberFormat="1">
      <alignment horizontal="left" shrinkToFit="0" wrapText="1"/>
    </xf>
    <xf borderId="0" fillId="0" fontId="1" numFmtId="0" xfId="0" applyAlignment="1" applyFont="1">
      <alignment horizontal="left" shrinkToFit="0" wrapText="1"/>
    </xf>
    <xf borderId="0" fillId="0" fontId="33" numFmtId="0" xfId="0" applyAlignment="1" applyFont="1">
      <alignment shrinkToFit="0" wrapText="1"/>
    </xf>
    <xf borderId="0" fillId="3" fontId="33" numFmtId="0" xfId="0" applyAlignment="1" applyFont="1">
      <alignment horizontal="left" shrinkToFit="0" wrapText="1"/>
    </xf>
    <xf borderId="0" fillId="3" fontId="44" numFmtId="0" xfId="0" applyAlignment="1" applyFont="1">
      <alignment horizontal="left" shrinkToFit="0" wrapText="1"/>
    </xf>
    <xf borderId="0" fillId="3" fontId="33" numFmtId="0" xfId="0" applyAlignment="1" applyFont="1">
      <alignment horizontal="left" shrinkToFit="0" wrapText="0"/>
    </xf>
    <xf borderId="0" fillId="0" fontId="33" numFmtId="9" xfId="0" applyAlignment="1" applyFont="1" applyNumberFormat="1">
      <alignment horizontal="left" shrinkToFit="0" wrapText="1"/>
    </xf>
    <xf borderId="0" fillId="0" fontId="33" numFmtId="0" xfId="0" applyAlignment="1" applyFont="1">
      <alignment horizontal="left" shrinkToFit="0" wrapText="1"/>
    </xf>
    <xf borderId="0" fillId="3" fontId="45" numFmtId="0" xfId="0" applyAlignment="1" applyFont="1">
      <alignment horizontal="left" shrinkToFit="0" wrapText="1"/>
    </xf>
    <xf borderId="0" fillId="2" fontId="45" numFmtId="0" xfId="0" applyAlignment="1" applyFont="1">
      <alignment horizontal="left" shrinkToFit="0" wrapText="1"/>
    </xf>
    <xf borderId="0" fillId="3" fontId="46" numFmtId="0" xfId="0" applyAlignment="1" applyFont="1">
      <alignment horizontal="left" shrinkToFit="0" wrapText="0"/>
    </xf>
    <xf borderId="0" fillId="5" fontId="33" numFmtId="0" xfId="0" applyAlignment="1" applyFont="1">
      <alignment horizontal="left" shrinkToFit="0" wrapText="0"/>
    </xf>
    <xf borderId="0" fillId="0" fontId="6" numFmtId="171" xfId="0" applyFont="1" applyNumberFormat="1"/>
    <xf borderId="0" fillId="9" fontId="4" numFmtId="0" xfId="0" applyAlignment="1" applyFont="1">
      <alignment horizontal="center" readingOrder="0" shrinkToFit="0" wrapText="1"/>
    </xf>
    <xf borderId="0" fillId="3" fontId="33" numFmtId="0" xfId="0" applyAlignment="1" applyFont="1">
      <alignment horizontal="center" shrinkToFit="0" wrapText="1"/>
    </xf>
    <xf borderId="0" fillId="3" fontId="33" numFmtId="0" xfId="0" applyAlignment="1" applyFont="1">
      <alignment horizontal="center" readingOrder="0" shrinkToFit="0" wrapText="1"/>
    </xf>
    <xf borderId="0" fillId="0" fontId="6" numFmtId="0" xfId="0" applyAlignment="1" applyFont="1">
      <alignment horizontal="center" readingOrder="0" shrinkToFit="0" wrapText="1"/>
    </xf>
    <xf borderId="0" fillId="3" fontId="47" numFmtId="0" xfId="0" applyAlignment="1" applyFont="1">
      <alignment readingOrder="0" shrinkToFit="0" wrapText="1"/>
    </xf>
    <xf borderId="0" fillId="3" fontId="48" numFmtId="0" xfId="0" applyAlignment="1" applyFont="1">
      <alignment horizontal="left" readingOrder="0" shrinkToFit="0" wrapText="1"/>
    </xf>
    <xf borderId="0" fillId="0" fontId="49" numFmtId="0" xfId="0" applyAlignment="1" applyFont="1">
      <alignment vertical="bottom"/>
    </xf>
    <xf borderId="0" fillId="0" fontId="6" numFmtId="0" xfId="0" applyAlignment="1" applyFont="1">
      <alignment readingOrder="0"/>
    </xf>
    <xf borderId="0" fillId="0" fontId="50" numFmtId="0" xfId="0" applyAlignment="1" applyFont="1">
      <alignment readingOrder="0" vertical="bottom"/>
    </xf>
    <xf borderId="0" fillId="7" fontId="50" numFmtId="0" xfId="0" applyAlignment="1" applyFont="1">
      <alignment horizontal="right" vertical="bottom"/>
    </xf>
    <xf borderId="0" fillId="0" fontId="50" numFmtId="0" xfId="0" applyAlignment="1" applyFont="1">
      <alignment horizontal="right" vertical="bottom"/>
    </xf>
    <xf borderId="0" fillId="0" fontId="50" numFmtId="0" xfId="0" applyAlignment="1" applyFont="1">
      <alignment horizontal="right" readingOrder="0" vertical="bottom"/>
    </xf>
    <xf borderId="0" fillId="0" fontId="50" numFmtId="0" xfId="0" applyAlignment="1" applyFont="1">
      <alignment vertical="bottom"/>
    </xf>
    <xf borderId="0" fillId="0" fontId="51" numFmtId="0" xfId="0" applyAlignment="1" applyFont="1">
      <alignment vertical="bottom"/>
    </xf>
    <xf borderId="0" fillId="0" fontId="49" numFmtId="0" xfId="0" applyAlignment="1" applyFont="1">
      <alignment horizontal="right" vertical="bottom"/>
    </xf>
    <xf borderId="0" fillId="3" fontId="35" numFmtId="0" xfId="0" applyAlignment="1" applyFont="1">
      <alignment shrinkToFit="0" wrapText="1"/>
    </xf>
    <xf borderId="0" fillId="3" fontId="36" numFmtId="0" xfId="0" applyAlignment="1" applyFont="1">
      <alignment horizontal="left" shrinkToFit="0" wrapText="0"/>
    </xf>
    <xf borderId="0" fillId="3" fontId="37" numFmtId="0" xfId="0" applyAlignment="1" applyFont="1">
      <alignment horizontal="left" shrinkToFit="0" wrapText="1"/>
    </xf>
    <xf borderId="0" fillId="3" fontId="35" numFmtId="9" xfId="0" applyAlignment="1" applyFont="1" applyNumberFormat="1">
      <alignment horizontal="left" shrinkToFit="0" wrapText="1"/>
    </xf>
    <xf borderId="0" fillId="3" fontId="35" numFmtId="172" xfId="0" applyAlignment="1" applyFont="1" applyNumberFormat="1">
      <alignment horizontal="left" shrinkToFit="0" wrapText="1"/>
    </xf>
    <xf borderId="0" fillId="3" fontId="35" numFmtId="0" xfId="0" applyAlignment="1" applyFont="1">
      <alignment horizontal="left" shrinkToFit="0" wrapText="1"/>
    </xf>
    <xf borderId="0" fillId="2" fontId="26" numFmtId="172" xfId="0" applyAlignment="1" applyFont="1" applyNumberFormat="1">
      <alignment horizontal="left" shrinkToFit="0" wrapText="1"/>
    </xf>
    <xf borderId="0" fillId="3" fontId="52" numFmtId="0" xfId="0" applyAlignment="1" applyFont="1">
      <alignment shrinkToFit="0" wrapText="0"/>
    </xf>
    <xf borderId="0" fillId="2" fontId="35" numFmtId="0" xfId="0" applyAlignment="1" applyFont="1">
      <alignment shrinkToFit="0" wrapText="1"/>
    </xf>
    <xf borderId="0" fillId="2" fontId="36" numFmtId="0" xfId="0" applyAlignment="1" applyFont="1">
      <alignment horizontal="left" shrinkToFit="0" wrapText="0"/>
    </xf>
    <xf borderId="0" fillId="2" fontId="37" numFmtId="0" xfId="0" applyAlignment="1" applyFont="1">
      <alignment horizontal="left" shrinkToFit="0" wrapText="1"/>
    </xf>
    <xf borderId="0" fillId="2" fontId="35" numFmtId="9" xfId="0" applyAlignment="1" applyFont="1" applyNumberFormat="1">
      <alignment horizontal="left" shrinkToFit="0" wrapText="1"/>
    </xf>
    <xf borderId="0" fillId="2" fontId="35" numFmtId="172" xfId="0" applyAlignment="1" applyFont="1" applyNumberFormat="1">
      <alignment horizontal="left" shrinkToFit="0" wrapText="1"/>
    </xf>
    <xf borderId="0" fillId="2" fontId="35" numFmtId="0" xfId="0" applyAlignment="1" applyFont="1">
      <alignment horizontal="left" shrinkToFit="0" wrapText="1"/>
    </xf>
    <xf borderId="0" fillId="3" fontId="26" numFmtId="172" xfId="0" applyAlignment="1" applyFont="1" applyNumberFormat="1">
      <alignment horizontal="left" shrinkToFit="0" wrapText="1"/>
    </xf>
    <xf borderId="0" fillId="3" fontId="53" numFmtId="0" xfId="0" applyFont="1"/>
    <xf borderId="0" fillId="2" fontId="54" numFmtId="0" xfId="0" applyFont="1"/>
    <xf borderId="0" fillId="2" fontId="40" numFmtId="0" xfId="0" applyFont="1"/>
    <xf borderId="0" fillId="3" fontId="55" numFmtId="0" xfId="0" applyFont="1"/>
    <xf borderId="0" fillId="2" fontId="56" numFmtId="0" xfId="0" applyFont="1"/>
    <xf borderId="0" fillId="3" fontId="33" numFmtId="0" xfId="0" applyAlignment="1" applyFont="1">
      <alignment horizontal="left" shrinkToFit="0" wrapText="0"/>
    </xf>
    <xf borderId="0" fillId="3" fontId="6" numFmtId="0" xfId="0" applyAlignment="1" applyFont="1">
      <alignment shrinkToFit="0" wrapText="1"/>
    </xf>
    <xf borderId="0" fillId="3" fontId="6" numFmtId="9" xfId="0" applyAlignment="1" applyFont="1" applyNumberFormat="1">
      <alignment horizontal="left" shrinkToFit="0" wrapText="1"/>
    </xf>
    <xf borderId="0" fillId="3" fontId="6" numFmtId="0" xfId="0" applyAlignment="1" applyFont="1">
      <alignment horizontal="left" shrinkToFit="0" wrapText="1"/>
    </xf>
    <xf borderId="0" fillId="2" fontId="6" numFmtId="0" xfId="0" applyAlignment="1" applyFont="1">
      <alignment shrinkToFit="0" wrapText="1"/>
    </xf>
    <xf borderId="0" fillId="2" fontId="6" numFmtId="9" xfId="0" applyAlignment="1" applyFont="1" applyNumberFormat="1">
      <alignment horizontal="left" shrinkToFit="0" wrapText="1"/>
    </xf>
    <xf borderId="0" fillId="2" fontId="6" numFmtId="0" xfId="0" applyAlignment="1" applyFont="1">
      <alignment horizontal="left" shrinkToFit="0" wrapText="1"/>
    </xf>
    <xf borderId="0" fillId="3" fontId="1" numFmtId="0" xfId="0" applyAlignment="1" applyFont="1">
      <alignment shrinkToFit="0" wrapText="1"/>
    </xf>
    <xf borderId="0" fillId="3" fontId="1" numFmtId="0" xfId="0" applyAlignment="1" applyFont="1">
      <alignment shrinkToFit="0" wrapText="0"/>
    </xf>
    <xf borderId="0" fillId="3" fontId="1" numFmtId="9" xfId="0" applyAlignment="1" applyFont="1" applyNumberFormat="1">
      <alignment horizontal="left" shrinkToFit="0" wrapText="1"/>
    </xf>
    <xf borderId="0" fillId="2" fontId="37" numFmtId="0" xfId="0" applyAlignment="1" applyFont="1">
      <alignment shrinkToFit="0" wrapText="1"/>
    </xf>
    <xf borderId="0" fillId="2" fontId="57" numFmtId="0" xfId="0" applyAlignment="1" applyFont="1">
      <alignment horizontal="left" shrinkToFit="0" wrapText="1"/>
    </xf>
    <xf borderId="0" fillId="2" fontId="58" numFmtId="0" xfId="0" applyAlignment="1" applyFont="1">
      <alignment horizontal="left" shrinkToFit="0" wrapText="0"/>
    </xf>
    <xf borderId="0" fillId="2" fontId="37" numFmtId="0" xfId="0" applyAlignment="1" applyFont="1">
      <alignment horizontal="left" shrinkToFit="0" wrapText="0"/>
    </xf>
    <xf borderId="0" fillId="2" fontId="33" numFmtId="0" xfId="0" applyAlignment="1" applyFont="1">
      <alignment horizontal="left" shrinkToFit="0" wrapText="0"/>
    </xf>
    <xf borderId="0" fillId="2" fontId="37" numFmtId="9" xfId="0" applyAlignment="1" applyFont="1" applyNumberFormat="1">
      <alignment horizontal="left" shrinkToFit="0" wrapText="1"/>
    </xf>
    <xf borderId="0" fillId="3" fontId="37" numFmtId="0" xfId="0" applyAlignment="1" applyFont="1">
      <alignment shrinkToFit="0" wrapText="1"/>
    </xf>
    <xf borderId="0" fillId="3" fontId="37" numFmtId="0" xfId="0" applyAlignment="1" applyFont="1">
      <alignment horizontal="left" shrinkToFit="0" wrapText="0"/>
    </xf>
    <xf borderId="0" fillId="3" fontId="37" numFmtId="9" xfId="0" applyAlignment="1" applyFont="1" applyNumberFormat="1">
      <alignment horizontal="left" shrinkToFit="0" wrapText="1"/>
    </xf>
    <xf borderId="0" fillId="3" fontId="33" numFmtId="0" xfId="0" applyAlignment="1" applyFont="1">
      <alignment shrinkToFit="0" wrapText="1"/>
    </xf>
    <xf borderId="0" fillId="3" fontId="59" numFmtId="0" xfId="0" applyAlignment="1" applyFont="1">
      <alignment horizontal="left" shrinkToFit="0" wrapText="1"/>
    </xf>
    <xf borderId="0" fillId="3" fontId="33" numFmtId="9" xfId="0" applyAlignment="1" applyFont="1" applyNumberFormat="1">
      <alignment horizontal="left" shrinkToFit="0" wrapText="1"/>
    </xf>
    <xf borderId="0" fillId="2" fontId="33" numFmtId="0" xfId="0" applyAlignment="1" applyFont="1">
      <alignment shrinkToFit="0" wrapText="1"/>
    </xf>
    <xf borderId="0" fillId="2" fontId="45" numFmtId="0" xfId="0" applyAlignment="1" applyFont="1">
      <alignment horizontal="left" shrinkToFit="0" wrapText="1"/>
    </xf>
    <xf borderId="0" fillId="2" fontId="33" numFmtId="9" xfId="0" applyAlignment="1" applyFont="1" applyNumberFormat="1">
      <alignment horizontal="left" shrinkToFit="0" wrapText="1"/>
    </xf>
    <xf borderId="0" fillId="3" fontId="45" numFmtId="0" xfId="0" applyAlignment="1" applyFont="1">
      <alignment horizontal="left" shrinkToFit="0" wrapText="1"/>
    </xf>
    <xf borderId="0" fillId="2" fontId="60" numFmtId="0" xfId="0" applyAlignment="1" applyFont="1">
      <alignment horizontal="left" shrinkToFit="0" wrapText="0"/>
    </xf>
    <xf borderId="0" fillId="5" fontId="33" numFmtId="0" xfId="0" applyAlignment="1" applyFont="1">
      <alignment horizontal="left" shrinkToFit="0" wrapText="0"/>
    </xf>
    <xf borderId="0" fillId="3" fontId="57" numFmtId="0" xfId="0" applyAlignment="1" applyFont="1">
      <alignment horizontal="left" shrinkToFit="0" wrapText="1"/>
    </xf>
    <xf borderId="0" fillId="3" fontId="61" numFmtId="0" xfId="0" applyAlignment="1" applyFont="1">
      <alignment horizontal="left" shrinkToFit="0" wrapText="0"/>
    </xf>
    <xf borderId="0" fillId="0" fontId="6" numFmtId="0" xfId="0" applyAlignment="1" applyFont="1">
      <alignment horizontal="center"/>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FFF00"/>
          <bgColor rgb="FFFFFF00"/>
        </patternFill>
      </fill>
      <border/>
    </dxf>
    <dxf>
      <font/>
      <fill>
        <patternFill patternType="solid">
          <fgColor rgb="FFF6B26B"/>
          <bgColor rgb="FFF6B26B"/>
        </patternFill>
      </fill>
      <border/>
    </dxf>
    <dxf>
      <font/>
      <fill>
        <patternFill patternType="solid">
          <fgColor rgb="FFFFF2CC"/>
          <bgColor rgb="FFFFF2CC"/>
        </patternFill>
      </fill>
      <border/>
    </dxf>
    <dxf>
      <font/>
      <fill>
        <patternFill patternType="solid">
          <fgColor rgb="FF00FF00"/>
          <bgColor rgb="FF00FF00"/>
        </patternFill>
      </fill>
      <border/>
    </dxf>
    <dxf>
      <font/>
      <fill>
        <patternFill patternType="solid">
          <fgColor rgb="FFD9D9D9"/>
          <bgColor rgb="FFD9D9D9"/>
        </patternFill>
      </fill>
      <border/>
    </dxf>
  </dxfs>
  <tableStyles count="1">
    <tableStyle count="2" pivot="0" name="Q3 2020-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4:P58"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Q3 202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onesignal.com" TargetMode="External"/><Relationship Id="rId2" Type="http://schemas.openxmlformats.org/officeDocument/2006/relationships/hyperlink" Target="http://www.onesigna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archenginejournal.com/google-introduces-new-search-engine-for-finding-datasets/2683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gitlab.mc2data.com/root/Dev/issues/118" TargetMode="External"/><Relationship Id="rId10" Type="http://schemas.openxmlformats.org/officeDocument/2006/relationships/hyperlink" Target="https://gitlab.mc2data.com/root/Dev/issues/113" TargetMode="External"/><Relationship Id="rId13" Type="http://schemas.openxmlformats.org/officeDocument/2006/relationships/hyperlink" Target="https://gitlab.mc2data.com/root/Dev/issues/48" TargetMode="External"/><Relationship Id="rId12" Type="http://schemas.openxmlformats.org/officeDocument/2006/relationships/hyperlink" Target="https://gitlab.mc2data.com/root/Dev/issues/1" TargetMode="External"/><Relationship Id="rId1" Type="http://schemas.openxmlformats.org/officeDocument/2006/relationships/hyperlink" Target="https://gitlab.mc2data.com/root/Dev/issues/67" TargetMode="External"/><Relationship Id="rId2" Type="http://schemas.openxmlformats.org/officeDocument/2006/relationships/hyperlink" Target="https://gitlab.mc2data.com/root/Dev/issues/115" TargetMode="External"/><Relationship Id="rId3" Type="http://schemas.openxmlformats.org/officeDocument/2006/relationships/hyperlink" Target="http://privaterecords.net" TargetMode="External"/><Relationship Id="rId4" Type="http://schemas.openxmlformats.org/officeDocument/2006/relationships/hyperlink" Target="http://peoplesearcher.com" TargetMode="External"/><Relationship Id="rId9" Type="http://schemas.openxmlformats.org/officeDocument/2006/relationships/hyperlink" Target="https://gitlab.mc2data.com/root/Dev/issues/116" TargetMode="External"/><Relationship Id="rId15" Type="http://schemas.openxmlformats.org/officeDocument/2006/relationships/hyperlink" Target="https://gitlab.mc2data.com/root/Biz/issues/58" TargetMode="External"/><Relationship Id="rId14" Type="http://schemas.openxmlformats.org/officeDocument/2006/relationships/hyperlink" Target="https://gitlab.mc2data.com/root/Dev/issues/83" TargetMode="External"/><Relationship Id="rId17" Type="http://schemas.openxmlformats.org/officeDocument/2006/relationships/hyperlink" Target="https://gitlab.mc2data.com/root/Biz/issues/61" TargetMode="External"/><Relationship Id="rId16" Type="http://schemas.openxmlformats.org/officeDocument/2006/relationships/hyperlink" Target="https://gitlab.mc2data.com/root/Biz/issues/59" TargetMode="External"/><Relationship Id="rId5" Type="http://schemas.openxmlformats.org/officeDocument/2006/relationships/hyperlink" Target="http://peoplesearch123.com" TargetMode="External"/><Relationship Id="rId19" Type="http://schemas.openxmlformats.org/officeDocument/2006/relationships/hyperlink" Target="https://gitlab.mc2data.com/root/Dev/issues/106" TargetMode="External"/><Relationship Id="rId6" Type="http://schemas.openxmlformats.org/officeDocument/2006/relationships/hyperlink" Target="http://backgroundcheckers.net" TargetMode="External"/><Relationship Id="rId18" Type="http://schemas.openxmlformats.org/officeDocument/2006/relationships/hyperlink" Target="https://www.searchenginejournal.com/google-introduces-new-search-engine-for-finding-datasets/268337/" TargetMode="External"/><Relationship Id="rId7" Type="http://schemas.openxmlformats.org/officeDocument/2006/relationships/hyperlink" Target="http://truthviewer.com" TargetMode="External"/><Relationship Id="rId8" Type="http://schemas.openxmlformats.org/officeDocument/2006/relationships/hyperlink" Target="https://gitlab.mc2data.com/root/Dev/issues/11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gitlab.mc2data.com/root/Biz/issues/115" TargetMode="External"/><Relationship Id="rId10" Type="http://schemas.openxmlformats.org/officeDocument/2006/relationships/hyperlink" Target="https://gitlab.mc2data.com/root/Dev/issues/372" TargetMode="External"/><Relationship Id="rId21" Type="http://schemas.openxmlformats.org/officeDocument/2006/relationships/table" Target="../tables/table1.xml"/><Relationship Id="rId13" Type="http://schemas.openxmlformats.org/officeDocument/2006/relationships/hyperlink" Target="https://docs.google.com/spreadsheets/d/1DZjS7Tbuc__RFfwoh6Ml_HB3GSAeIyNW3o4Wg7uNcxE/edit" TargetMode="External"/><Relationship Id="rId12" Type="http://schemas.openxmlformats.org/officeDocument/2006/relationships/hyperlink" Target="http://sunbiz.org/" TargetMode="External"/><Relationship Id="rId1" Type="http://schemas.openxmlformats.org/officeDocument/2006/relationships/hyperlink" Target="http://weinform.net/" TargetMode="External"/><Relationship Id="rId2" Type="http://schemas.openxmlformats.org/officeDocument/2006/relationships/hyperlink" Target="http://prisonpro.com/" TargetMode="External"/><Relationship Id="rId3" Type="http://schemas.openxmlformats.org/officeDocument/2006/relationships/hyperlink" Target="http://weinform.org/" TargetMode="External"/><Relationship Id="rId4" Type="http://schemas.openxmlformats.org/officeDocument/2006/relationships/hyperlink" Target="http://inmatelookup.net/" TargetMode="External"/><Relationship Id="rId9" Type="http://schemas.openxmlformats.org/officeDocument/2006/relationships/hyperlink" Target="http://qa.admin.mc2data.com/admin" TargetMode="External"/><Relationship Id="rId15" Type="http://schemas.openxmlformats.org/officeDocument/2006/relationships/hyperlink" Target="https://docs.google.com/spreadsheets/d/1wkgcpcrqqjjCJip4jtwYWtRg0eeXhf9z6coI1paABoM/edit" TargetMode="External"/><Relationship Id="rId14" Type="http://schemas.openxmlformats.org/officeDocument/2006/relationships/hyperlink" Target="https://prnt.sc/s1r9k6" TargetMode="External"/><Relationship Id="rId17" Type="http://schemas.openxmlformats.org/officeDocument/2006/relationships/hyperlink" Target="https://prnt.sc/s1u0jc" TargetMode="External"/><Relationship Id="rId16" Type="http://schemas.openxmlformats.org/officeDocument/2006/relationships/hyperlink" Target="https://docs.google.com/spreadsheets/d/1hUQtNsZVSttMFnyUVzESu53KaLqFwIzYgSZBv2o0zVg/edit" TargetMode="External"/><Relationship Id="rId5" Type="http://schemas.openxmlformats.org/officeDocument/2006/relationships/hyperlink" Target="http://safeforkids.net/" TargetMode="External"/><Relationship Id="rId19" Type="http://schemas.openxmlformats.org/officeDocument/2006/relationships/drawing" Target="../drawings/drawing8.xml"/><Relationship Id="rId6" Type="http://schemas.openxmlformats.org/officeDocument/2006/relationships/hyperlink" Target="http://kidslivesafe.com/" TargetMode="External"/><Relationship Id="rId18" Type="http://schemas.openxmlformats.org/officeDocument/2006/relationships/hyperlink" Target="https://docs.google.com/spreadsheets/d/1hHB2qpstdjM1FJGHw-_CHpzYSII0SVMQ8Ct-vjdvwcU/edit" TargetMode="External"/><Relationship Id="rId7" Type="http://schemas.openxmlformats.org/officeDocument/2006/relationships/hyperlink" Target="https://prnt.sc/sxvexp" TargetMode="External"/><Relationship Id="rId8" Type="http://schemas.openxmlformats.org/officeDocument/2006/relationships/hyperlink" Target="https://docs.google.com/document/d/1n4KHDmhv5CtdLh1EfuyTlSiU2RQcTzvzus61eCzIMf8/edi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feforkids.net/" TargetMode="External"/><Relationship Id="rId3" Type="http://schemas.openxmlformats.org/officeDocument/2006/relationships/hyperlink" Target="https://prnt.sc/sxvmx3" TargetMode="External"/><Relationship Id="rId4" Type="http://schemas.openxmlformats.org/officeDocument/2006/relationships/drawing" Target="../drawings/drawing10.xml"/><Relationship Id="rId5"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searchbug.com/info/locate-unclaimed-assets-missing-money-unclaimed-property-2/" TargetMode="External"/><Relationship Id="rId3" Type="http://schemas.openxmlformats.org/officeDocument/2006/relationships/drawing" Target="../drawings/drawing11.xml"/><Relationship Id="rId4"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1" Type="http://schemas.openxmlformats.org/officeDocument/2006/relationships/hyperlink" Target="https://prnt.sc/s1r9k6" TargetMode="External"/><Relationship Id="rId10" Type="http://schemas.openxmlformats.org/officeDocument/2006/relationships/hyperlink" Target="https://docs.google.com/spreadsheets/d/1DZjS7Tbuc__RFfwoh6Ml_HB3GSAeIyNW3o4Wg7uNcxE/edit" TargetMode="External"/><Relationship Id="rId13" Type="http://schemas.openxmlformats.org/officeDocument/2006/relationships/hyperlink" Target="https://docs.google.com/spreadsheets/d/1hUQtNsZVSttMFnyUVzESu53KaLqFwIzYgSZBv2o0zVg/edit" TargetMode="External"/><Relationship Id="rId12" Type="http://schemas.openxmlformats.org/officeDocument/2006/relationships/hyperlink" Target="https://docs.google.com/spreadsheets/d/1wkgcpcrqqjjCJip4jtwYWtRg0eeXhf9z6coI1paABoM/edit" TargetMode="External"/><Relationship Id="rId1" Type="http://schemas.openxmlformats.org/officeDocument/2006/relationships/hyperlink" Target="https://gitlab.mc2data.com/root/Dev/issues/347" TargetMode="External"/><Relationship Id="rId2" Type="http://schemas.openxmlformats.org/officeDocument/2006/relationships/hyperlink" Target="https://gitlab.mc2data.com/root/Biz/issues/90" TargetMode="External"/><Relationship Id="rId3" Type="http://schemas.openxmlformats.org/officeDocument/2006/relationships/hyperlink" Target="https://gitlab.mc2data.com/root/Dev/issues/4" TargetMode="External"/><Relationship Id="rId4" Type="http://schemas.openxmlformats.org/officeDocument/2006/relationships/hyperlink" Target="https://gitlab.mc2data.com/root/Dev/issues/372" TargetMode="External"/><Relationship Id="rId9" Type="http://schemas.openxmlformats.org/officeDocument/2006/relationships/hyperlink" Target="http://sunbiz.org/" TargetMode="External"/><Relationship Id="rId15" Type="http://schemas.openxmlformats.org/officeDocument/2006/relationships/hyperlink" Target="https://docs.google.com/spreadsheets/d/1hHB2qpstdjM1FJGHw-_CHpzYSII0SVMQ8Ct-vjdvwcU/edit" TargetMode="External"/><Relationship Id="rId14" Type="http://schemas.openxmlformats.org/officeDocument/2006/relationships/hyperlink" Target="https://prnt.sc/s1u0jc" TargetMode="External"/><Relationship Id="rId16" Type="http://schemas.openxmlformats.org/officeDocument/2006/relationships/drawing" Target="../drawings/drawing12.xml"/><Relationship Id="rId5" Type="http://schemas.openxmlformats.org/officeDocument/2006/relationships/hyperlink" Target="https://gitlab.mc2data.com/root/Dev/issues/372" TargetMode="External"/><Relationship Id="rId6" Type="http://schemas.openxmlformats.org/officeDocument/2006/relationships/hyperlink" Target="https://gitlab.mc2data.com/root/Dev/issues/383" TargetMode="External"/><Relationship Id="rId7" Type="http://schemas.openxmlformats.org/officeDocument/2006/relationships/hyperlink" Target="https://gitlab.mc2data.com/root/Biz/issues/115" TargetMode="External"/><Relationship Id="rId8" Type="http://schemas.openxmlformats.org/officeDocument/2006/relationships/hyperlink" Target="https://docs.google.com/spreadsheets/d/1hHB2qpstdjM1FJGHw-_CHpzYSII0SVMQ8Ct-vjdvwc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Col="2"/>
  <cols>
    <col customWidth="1" min="1" max="1" width="14.43"/>
    <col customWidth="1" hidden="1" min="2" max="27" width="14.43"/>
    <col customWidth="1" hidden="1" min="28" max="37" width="18.71"/>
    <col customWidth="1" hidden="1" min="38" max="38" width="45.14"/>
    <col customWidth="1" hidden="1" min="39" max="39" width="18.71"/>
    <col customWidth="1" min="40" max="40" width="30.0"/>
    <col customWidth="1" min="41" max="41" width="32.57"/>
    <col customWidth="1" min="42" max="42" width="26.57"/>
    <col customWidth="1" min="43" max="43" width="23.0"/>
    <col customWidth="1" min="44" max="44" width="28.71"/>
    <col customWidth="1" min="45" max="46" width="18.71"/>
  </cols>
  <sheetData>
    <row r="1" ht="15.75" customHeight="1">
      <c r="A1" s="2"/>
      <c r="B1" s="4">
        <v>43443.0</v>
      </c>
      <c r="C1" s="4">
        <v>43450.0</v>
      </c>
      <c r="D1" s="4">
        <v>43457.0</v>
      </c>
      <c r="E1" s="4">
        <v>43464.0</v>
      </c>
      <c r="F1" s="10">
        <v>43103.0</v>
      </c>
      <c r="G1" s="10">
        <v>43110.0</v>
      </c>
      <c r="H1" s="10">
        <v>43124.0</v>
      </c>
      <c r="I1" s="10">
        <v>43138.0</v>
      </c>
      <c r="J1" s="10">
        <v>43145.0</v>
      </c>
      <c r="K1" s="10">
        <v>43154.0</v>
      </c>
      <c r="L1" s="10">
        <v>43159.0</v>
      </c>
      <c r="M1" s="10">
        <v>43166.0</v>
      </c>
      <c r="N1" s="10">
        <v>43173.0</v>
      </c>
      <c r="O1" s="10">
        <v>43180.0</v>
      </c>
      <c r="P1" s="10">
        <v>43187.0</v>
      </c>
      <c r="Q1" s="10">
        <v>43194.0</v>
      </c>
      <c r="R1" s="10">
        <v>43201.0</v>
      </c>
      <c r="S1" s="10">
        <v>43208.0</v>
      </c>
      <c r="T1" s="10">
        <v>43222.0</v>
      </c>
      <c r="U1" s="10">
        <v>43229.0</v>
      </c>
      <c r="V1" s="10">
        <v>43236.0</v>
      </c>
      <c r="W1" s="10">
        <v>43250.0</v>
      </c>
      <c r="X1" s="10">
        <v>43257.0</v>
      </c>
      <c r="Y1" s="10">
        <v>43264.0</v>
      </c>
      <c r="Z1" s="10">
        <v>43271.0</v>
      </c>
      <c r="AA1" s="10">
        <v>43278.0</v>
      </c>
      <c r="AB1" s="10">
        <v>43285.0</v>
      </c>
      <c r="AC1" s="10">
        <v>43292.0</v>
      </c>
      <c r="AD1" s="10">
        <v>43299.0</v>
      </c>
      <c r="AE1" s="10">
        <v>43306.0</v>
      </c>
      <c r="AF1" s="10">
        <v>43313.0</v>
      </c>
      <c r="AG1" s="10">
        <v>43320.0</v>
      </c>
      <c r="AH1" s="10">
        <v>43327.0</v>
      </c>
      <c r="AI1" s="10">
        <v>43334.0</v>
      </c>
      <c r="AJ1" s="10">
        <v>43342.0</v>
      </c>
      <c r="AK1" s="10">
        <v>43349.0</v>
      </c>
      <c r="AL1" s="10">
        <v>43356.0</v>
      </c>
      <c r="AM1" s="10">
        <v>43363.0</v>
      </c>
      <c r="AN1" s="10">
        <v>43374.0</v>
      </c>
      <c r="AO1" s="10">
        <v>43384.0</v>
      </c>
      <c r="AP1" s="10">
        <v>43390.0</v>
      </c>
      <c r="AQ1" s="10">
        <v>43397.0</v>
      </c>
      <c r="AR1" s="10">
        <v>43404.0</v>
      </c>
      <c r="AS1" s="10">
        <v>43411.0</v>
      </c>
      <c r="AT1" s="10"/>
      <c r="AU1" s="25"/>
      <c r="AV1" s="26"/>
      <c r="AW1" s="27"/>
      <c r="AX1" s="27"/>
      <c r="AY1" s="27"/>
      <c r="AZ1" s="27"/>
      <c r="BA1" s="27"/>
      <c r="BB1" s="27"/>
      <c r="BC1" s="27"/>
    </row>
    <row r="2" ht="15.75" customHeight="1">
      <c r="A2" s="29" t="s">
        <v>52</v>
      </c>
      <c r="B2" s="31"/>
      <c r="C2" s="32" t="s">
        <v>62</v>
      </c>
      <c r="D2" s="32" t="s">
        <v>62</v>
      </c>
      <c r="E2" s="31"/>
      <c r="F2" s="31"/>
      <c r="G2" s="32" t="s">
        <v>68</v>
      </c>
      <c r="H2" s="32" t="s">
        <v>71</v>
      </c>
      <c r="I2" s="32" t="s">
        <v>72</v>
      </c>
      <c r="J2" s="32" t="s">
        <v>72</v>
      </c>
      <c r="K2" s="32" t="s">
        <v>76</v>
      </c>
      <c r="L2" s="31"/>
      <c r="M2" s="32" t="s">
        <v>80</v>
      </c>
      <c r="N2" s="32" t="s">
        <v>80</v>
      </c>
      <c r="O2" s="33" t="s">
        <v>80</v>
      </c>
      <c r="P2" s="32" t="s">
        <v>84</v>
      </c>
      <c r="Q2" s="34" t="s">
        <v>84</v>
      </c>
      <c r="R2" s="33" t="s">
        <v>87</v>
      </c>
      <c r="S2" s="31"/>
      <c r="T2" s="32" t="s">
        <v>89</v>
      </c>
      <c r="U2" s="32" t="s">
        <v>91</v>
      </c>
      <c r="V2" s="37"/>
      <c r="W2" s="37"/>
      <c r="X2" s="37"/>
      <c r="Y2" s="37"/>
      <c r="Z2" s="37"/>
      <c r="AA2" s="32" t="s">
        <v>96</v>
      </c>
      <c r="AB2" s="33" t="s">
        <v>98</v>
      </c>
      <c r="AC2" s="33" t="s">
        <v>99</v>
      </c>
      <c r="AD2" s="33" t="s">
        <v>101</v>
      </c>
      <c r="AE2" s="33" t="s">
        <v>103</v>
      </c>
      <c r="AF2" s="38" t="s">
        <v>105</v>
      </c>
      <c r="AG2" s="38" t="s">
        <v>105</v>
      </c>
      <c r="AH2" s="38" t="s">
        <v>109</v>
      </c>
      <c r="AI2" s="38" t="s">
        <v>109</v>
      </c>
      <c r="AJ2" s="38" t="s">
        <v>109</v>
      </c>
      <c r="AK2" s="38" t="s">
        <v>109</v>
      </c>
      <c r="AL2" s="38" t="s">
        <v>109</v>
      </c>
      <c r="AM2" s="38" t="s">
        <v>109</v>
      </c>
      <c r="AN2" s="38" t="s">
        <v>113</v>
      </c>
      <c r="AO2" s="38" t="s">
        <v>113</v>
      </c>
      <c r="AP2" s="43" t="s">
        <v>113</v>
      </c>
      <c r="AQ2" s="43"/>
      <c r="AR2" s="43"/>
      <c r="AS2" s="32"/>
      <c r="AT2" s="32"/>
      <c r="AU2" s="44"/>
      <c r="AV2" s="45"/>
      <c r="AW2" s="46"/>
      <c r="AX2" s="46"/>
      <c r="AY2" s="46"/>
      <c r="AZ2" s="46"/>
      <c r="BA2" s="46"/>
      <c r="BB2" s="46"/>
      <c r="BC2" s="46"/>
    </row>
    <row r="3" ht="15.75" customHeight="1">
      <c r="A3" s="37"/>
      <c r="B3" s="37"/>
      <c r="C3" s="37"/>
      <c r="D3" s="37"/>
      <c r="E3" s="37"/>
      <c r="F3" s="37"/>
      <c r="G3" s="37"/>
      <c r="H3" s="37"/>
      <c r="I3" s="37"/>
      <c r="J3" s="37"/>
      <c r="K3" s="37"/>
      <c r="L3" s="37"/>
      <c r="M3" s="37"/>
      <c r="N3" s="37"/>
      <c r="O3" s="37"/>
      <c r="P3" s="37"/>
      <c r="Q3" s="37"/>
      <c r="R3" s="37"/>
      <c r="S3" s="37"/>
      <c r="T3" s="37"/>
      <c r="U3" s="32" t="s">
        <v>134</v>
      </c>
      <c r="V3" s="37"/>
      <c r="W3" s="37"/>
      <c r="X3" s="32" t="s">
        <v>136</v>
      </c>
      <c r="Y3" s="32" t="s">
        <v>136</v>
      </c>
      <c r="Z3" s="37"/>
      <c r="AA3" s="37"/>
      <c r="AB3" s="37"/>
      <c r="AC3" s="33" t="s">
        <v>140</v>
      </c>
      <c r="AD3" s="33" t="s">
        <v>141</v>
      </c>
      <c r="AE3" s="33" t="s">
        <v>144</v>
      </c>
      <c r="AF3" s="38" t="s">
        <v>146</v>
      </c>
      <c r="AG3" s="32"/>
      <c r="AH3" s="38" t="s">
        <v>147</v>
      </c>
      <c r="AI3" s="38" t="s">
        <v>147</v>
      </c>
      <c r="AJ3" s="38" t="s">
        <v>150</v>
      </c>
      <c r="AK3" s="38" t="s">
        <v>150</v>
      </c>
      <c r="AL3" s="38"/>
      <c r="AM3" s="38"/>
      <c r="AN3" s="38"/>
      <c r="AO3" s="32"/>
      <c r="AP3" s="43" t="s">
        <v>154</v>
      </c>
      <c r="AQ3" s="43"/>
      <c r="AR3" s="43"/>
      <c r="AS3" s="32"/>
      <c r="AT3" s="32"/>
      <c r="AU3" s="44"/>
      <c r="AV3" s="45"/>
      <c r="AW3" s="46"/>
      <c r="AX3" s="46"/>
      <c r="AY3" s="46"/>
      <c r="AZ3" s="46"/>
      <c r="BA3" s="46"/>
      <c r="BB3" s="46"/>
      <c r="BC3" s="46"/>
    </row>
    <row r="4" ht="15.75" customHeight="1">
      <c r="A4" s="37"/>
      <c r="B4" s="32" t="s">
        <v>164</v>
      </c>
      <c r="C4" s="32" t="s">
        <v>166</v>
      </c>
      <c r="D4" s="32" t="s">
        <v>166</v>
      </c>
      <c r="E4" s="32" t="s">
        <v>168</v>
      </c>
      <c r="F4" s="32" t="s">
        <v>169</v>
      </c>
      <c r="G4" s="32" t="s">
        <v>170</v>
      </c>
      <c r="H4" s="32" t="s">
        <v>172</v>
      </c>
      <c r="I4" s="31"/>
      <c r="J4" s="32" t="s">
        <v>174</v>
      </c>
      <c r="K4" s="32" t="s">
        <v>175</v>
      </c>
      <c r="L4" s="49" t="s">
        <v>175</v>
      </c>
      <c r="M4" s="32" t="s">
        <v>180</v>
      </c>
      <c r="N4" s="49" t="s">
        <v>181</v>
      </c>
      <c r="O4" s="32" t="s">
        <v>183</v>
      </c>
      <c r="P4" s="32" t="s">
        <v>183</v>
      </c>
      <c r="Q4" s="33" t="s">
        <v>183</v>
      </c>
      <c r="R4" s="33" t="s">
        <v>186</v>
      </c>
      <c r="S4" s="31"/>
      <c r="T4" s="32" t="s">
        <v>188</v>
      </c>
      <c r="U4" s="32" t="s">
        <v>190</v>
      </c>
      <c r="V4" s="37"/>
      <c r="W4" s="37"/>
      <c r="X4" s="37"/>
      <c r="Y4" s="49" t="s">
        <v>193</v>
      </c>
      <c r="Z4" s="37"/>
      <c r="AA4" s="37"/>
      <c r="AB4" s="34" t="s">
        <v>198</v>
      </c>
      <c r="AC4" s="33" t="s">
        <v>198</v>
      </c>
      <c r="AD4" s="51"/>
      <c r="AE4" s="33" t="s">
        <v>200</v>
      </c>
      <c r="AF4" s="38" t="s">
        <v>201</v>
      </c>
      <c r="AG4" s="38" t="s">
        <v>201</v>
      </c>
      <c r="AH4" s="38"/>
      <c r="AI4" s="38" t="s">
        <v>204</v>
      </c>
      <c r="AJ4" s="38" t="s">
        <v>204</v>
      </c>
      <c r="AK4" s="38" t="s">
        <v>206</v>
      </c>
      <c r="AL4" s="38" t="s">
        <v>206</v>
      </c>
      <c r="AM4" s="38" t="s">
        <v>206</v>
      </c>
      <c r="AN4" s="38" t="s">
        <v>206</v>
      </c>
      <c r="AO4" s="38" t="s">
        <v>206</v>
      </c>
      <c r="AP4" s="43"/>
      <c r="AQ4" s="43"/>
      <c r="AR4" s="43" t="s">
        <v>206</v>
      </c>
      <c r="AS4" s="32"/>
      <c r="AT4" s="32"/>
      <c r="AU4" s="44"/>
      <c r="AV4" s="45"/>
      <c r="AW4" s="46"/>
      <c r="AX4" s="46"/>
      <c r="AY4" s="46"/>
      <c r="AZ4" s="46"/>
      <c r="BA4" s="46"/>
      <c r="BB4" s="46"/>
      <c r="BC4" s="46"/>
    </row>
    <row r="5" ht="15.75" customHeight="1">
      <c r="A5" s="37"/>
      <c r="B5" s="32" t="s">
        <v>217</v>
      </c>
      <c r="C5" s="31"/>
      <c r="D5" s="31"/>
      <c r="E5" s="31"/>
      <c r="F5" s="31"/>
      <c r="G5" s="32" t="s">
        <v>219</v>
      </c>
      <c r="H5" s="32" t="s">
        <v>220</v>
      </c>
      <c r="I5" s="32" t="s">
        <v>221</v>
      </c>
      <c r="J5" s="32" t="s">
        <v>221</v>
      </c>
      <c r="K5" s="31"/>
      <c r="L5" s="32" t="s">
        <v>226</v>
      </c>
      <c r="M5" s="32" t="s">
        <v>226</v>
      </c>
      <c r="N5" s="32" t="s">
        <v>226</v>
      </c>
      <c r="O5" s="32" t="s">
        <v>226</v>
      </c>
      <c r="P5" s="32" t="s">
        <v>226</v>
      </c>
      <c r="Q5" s="32" t="s">
        <v>226</v>
      </c>
      <c r="R5" s="31"/>
      <c r="S5" s="31"/>
      <c r="T5" s="32" t="s">
        <v>229</v>
      </c>
      <c r="U5" s="32" t="s">
        <v>152</v>
      </c>
      <c r="V5" s="37"/>
      <c r="W5" s="37"/>
      <c r="X5" s="37"/>
      <c r="Y5" s="49" t="s">
        <v>232</v>
      </c>
      <c r="Z5" s="37"/>
      <c r="AA5" s="37"/>
      <c r="AB5" s="33" t="s">
        <v>234</v>
      </c>
      <c r="AC5" s="33" t="s">
        <v>237</v>
      </c>
      <c r="AD5" s="33" t="s">
        <v>239</v>
      </c>
      <c r="AE5" s="33" t="s">
        <v>239</v>
      </c>
      <c r="AF5" s="38" t="s">
        <v>200</v>
      </c>
      <c r="AG5" s="32"/>
      <c r="AH5" s="38" t="s">
        <v>242</v>
      </c>
      <c r="AI5" s="38" t="s">
        <v>242</v>
      </c>
      <c r="AJ5" s="38" t="s">
        <v>242</v>
      </c>
      <c r="AK5" s="38" t="s">
        <v>242</v>
      </c>
      <c r="AL5" s="38"/>
      <c r="AM5" s="38" t="s">
        <v>242</v>
      </c>
      <c r="AN5" s="38" t="s">
        <v>242</v>
      </c>
      <c r="AO5" s="38" t="s">
        <v>242</v>
      </c>
      <c r="AP5" s="43"/>
      <c r="AQ5" s="43" t="s">
        <v>242</v>
      </c>
      <c r="AR5" s="43"/>
      <c r="AS5" s="32"/>
      <c r="AT5" s="32"/>
      <c r="AU5" s="44"/>
      <c r="AV5" s="45"/>
      <c r="AW5" s="46"/>
      <c r="AX5" s="46"/>
      <c r="AY5" s="46"/>
      <c r="AZ5" s="46"/>
      <c r="BA5" s="46"/>
      <c r="BB5" s="46"/>
      <c r="BC5" s="46"/>
    </row>
    <row r="6" ht="15.75" customHeight="1">
      <c r="A6" s="37"/>
      <c r="B6" s="32" t="s">
        <v>248</v>
      </c>
      <c r="C6" s="31"/>
      <c r="D6" s="31"/>
      <c r="E6" s="31"/>
      <c r="F6" s="31"/>
      <c r="G6" s="31"/>
      <c r="H6" s="31"/>
      <c r="I6" s="31"/>
      <c r="J6" s="32" t="s">
        <v>249</v>
      </c>
      <c r="K6" s="32" t="s">
        <v>250</v>
      </c>
      <c r="L6" s="32" t="s">
        <v>251</v>
      </c>
      <c r="M6" s="32" t="s">
        <v>252</v>
      </c>
      <c r="N6" s="32" t="s">
        <v>252</v>
      </c>
      <c r="O6" s="31"/>
      <c r="P6" s="52" t="s">
        <v>253</v>
      </c>
      <c r="Q6" s="52" t="s">
        <v>253</v>
      </c>
      <c r="R6" s="32" t="s">
        <v>255</v>
      </c>
      <c r="S6" s="32" t="s">
        <v>255</v>
      </c>
      <c r="T6" s="32" t="s">
        <v>256</v>
      </c>
      <c r="U6" s="32" t="s">
        <v>258</v>
      </c>
      <c r="V6" s="37"/>
      <c r="W6" s="37"/>
      <c r="X6" s="37"/>
      <c r="Y6" s="49" t="s">
        <v>259</v>
      </c>
      <c r="Z6" s="32" t="s">
        <v>260</v>
      </c>
      <c r="AA6" s="32" t="s">
        <v>260</v>
      </c>
      <c r="AB6" s="37"/>
      <c r="AC6" s="33" t="s">
        <v>260</v>
      </c>
      <c r="AD6" s="34" t="s">
        <v>261</v>
      </c>
      <c r="AE6" s="33" t="s">
        <v>261</v>
      </c>
      <c r="AF6" s="38" t="s">
        <v>262</v>
      </c>
      <c r="AG6" s="38" t="s">
        <v>264</v>
      </c>
      <c r="AH6" s="38" t="s">
        <v>265</v>
      </c>
      <c r="AI6" s="38" t="s">
        <v>265</v>
      </c>
      <c r="AJ6" s="38" t="s">
        <v>266</v>
      </c>
      <c r="AK6" s="38" t="s">
        <v>266</v>
      </c>
      <c r="AL6" s="38"/>
      <c r="AM6" s="32"/>
      <c r="AN6" s="38" t="s">
        <v>267</v>
      </c>
      <c r="AO6" s="38" t="s">
        <v>269</v>
      </c>
      <c r="AP6" s="43"/>
      <c r="AQ6" s="43"/>
      <c r="AR6" s="43"/>
      <c r="AS6" s="32"/>
      <c r="AT6" s="32"/>
      <c r="AU6" s="44"/>
      <c r="AV6" s="45"/>
      <c r="AW6" s="46"/>
      <c r="AX6" s="46"/>
      <c r="AY6" s="46"/>
      <c r="AZ6" s="46"/>
      <c r="BA6" s="46"/>
      <c r="BB6" s="46"/>
      <c r="BC6" s="46"/>
    </row>
    <row r="7" ht="15.75" customHeight="1">
      <c r="A7" s="37"/>
      <c r="B7" s="31"/>
      <c r="C7" s="31"/>
      <c r="D7" s="31"/>
      <c r="E7" s="31"/>
      <c r="F7" s="31"/>
      <c r="G7" s="31"/>
      <c r="H7" s="31"/>
      <c r="I7" s="31"/>
      <c r="J7" s="31"/>
      <c r="K7" s="31"/>
      <c r="L7" s="32" t="s">
        <v>275</v>
      </c>
      <c r="M7" s="32" t="s">
        <v>276</v>
      </c>
      <c r="N7" s="32" t="s">
        <v>277</v>
      </c>
      <c r="O7" s="32" t="s">
        <v>277</v>
      </c>
      <c r="P7" s="49" t="s">
        <v>277</v>
      </c>
      <c r="Q7" s="33" t="s">
        <v>278</v>
      </c>
      <c r="R7" s="31"/>
      <c r="S7" s="31"/>
      <c r="T7" s="32" t="s">
        <v>189</v>
      </c>
      <c r="U7" s="31"/>
      <c r="V7" s="31"/>
      <c r="W7" s="31"/>
      <c r="X7" s="31"/>
      <c r="Y7" s="31"/>
      <c r="Z7" s="32" t="s">
        <v>279</v>
      </c>
      <c r="AA7" s="32" t="s">
        <v>279</v>
      </c>
      <c r="AB7" s="31"/>
      <c r="AC7" s="33" t="s">
        <v>279</v>
      </c>
      <c r="AD7" s="33" t="s">
        <v>282</v>
      </c>
      <c r="AE7" s="33" t="s">
        <v>282</v>
      </c>
      <c r="AF7" s="32"/>
      <c r="AG7" s="38" t="s">
        <v>283</v>
      </c>
      <c r="AH7" s="38" t="s">
        <v>283</v>
      </c>
      <c r="AI7" s="38" t="s">
        <v>283</v>
      </c>
      <c r="AJ7" s="38" t="s">
        <v>284</v>
      </c>
      <c r="AK7" s="32"/>
      <c r="AL7" s="38"/>
      <c r="AM7" s="32"/>
      <c r="AN7" s="38"/>
      <c r="AO7" s="38" t="s">
        <v>285</v>
      </c>
      <c r="AP7" s="43"/>
      <c r="AQ7" s="43" t="s">
        <v>284</v>
      </c>
      <c r="AR7" s="43"/>
      <c r="AS7" s="32"/>
      <c r="AT7" s="32"/>
      <c r="AU7" s="44"/>
      <c r="AV7" s="45"/>
      <c r="AW7" s="46"/>
      <c r="AX7" s="46"/>
      <c r="AY7" s="46"/>
      <c r="AZ7" s="46"/>
      <c r="BA7" s="46"/>
      <c r="BB7" s="46"/>
      <c r="BC7" s="46"/>
    </row>
    <row r="8" ht="15.75" customHeight="1">
      <c r="A8" s="37"/>
      <c r="B8" s="32" t="s">
        <v>294</v>
      </c>
      <c r="C8" s="31"/>
      <c r="D8" s="31"/>
      <c r="E8" s="31"/>
      <c r="F8" s="31"/>
      <c r="G8" s="31"/>
      <c r="H8" s="31"/>
      <c r="I8" s="31"/>
      <c r="J8" s="32" t="s">
        <v>299</v>
      </c>
      <c r="K8" s="31"/>
      <c r="L8" s="32" t="s">
        <v>301</v>
      </c>
      <c r="M8" s="32" t="s">
        <v>303</v>
      </c>
      <c r="N8" s="32" t="s">
        <v>303</v>
      </c>
      <c r="O8" s="33" t="s">
        <v>303</v>
      </c>
      <c r="P8" s="32" t="s">
        <v>305</v>
      </c>
      <c r="Q8" s="32" t="s">
        <v>307</v>
      </c>
      <c r="R8" s="33" t="s">
        <v>308</v>
      </c>
      <c r="S8" s="32" t="s">
        <v>310</v>
      </c>
      <c r="T8" s="32" t="s">
        <v>313</v>
      </c>
      <c r="U8" s="31"/>
      <c r="V8" s="31"/>
      <c r="W8" s="31"/>
      <c r="X8" s="31"/>
      <c r="Y8" s="31"/>
      <c r="Z8" s="31"/>
      <c r="AA8" s="31"/>
      <c r="AB8" s="33" t="s">
        <v>315</v>
      </c>
      <c r="AC8" s="31"/>
      <c r="AD8" s="33" t="s">
        <v>316</v>
      </c>
      <c r="AE8" s="33" t="s">
        <v>316</v>
      </c>
      <c r="AF8" s="32"/>
      <c r="AG8" s="32"/>
      <c r="AH8" s="38"/>
      <c r="AI8" s="38" t="s">
        <v>319</v>
      </c>
      <c r="AJ8" s="38" t="s">
        <v>320</v>
      </c>
      <c r="AK8" s="32"/>
      <c r="AL8" s="38"/>
      <c r="AM8" s="38" t="s">
        <v>285</v>
      </c>
      <c r="AN8" s="38" t="s">
        <v>285</v>
      </c>
      <c r="AO8" s="43" t="s">
        <v>321</v>
      </c>
      <c r="AP8" s="32"/>
      <c r="AQ8" s="32"/>
      <c r="AR8" s="32"/>
      <c r="AS8" s="32"/>
      <c r="AT8" s="32"/>
      <c r="AU8" s="44"/>
      <c r="AV8" s="45"/>
      <c r="AW8" s="46"/>
      <c r="AX8" s="46"/>
      <c r="AY8" s="46"/>
      <c r="AZ8" s="46"/>
      <c r="BA8" s="46"/>
      <c r="BB8" s="46"/>
      <c r="BC8" s="46"/>
    </row>
    <row r="9" ht="15.75" customHeight="1">
      <c r="A9" s="37"/>
      <c r="B9" s="31"/>
      <c r="C9" s="31"/>
      <c r="D9" s="31"/>
      <c r="E9" s="37"/>
      <c r="F9" s="37"/>
      <c r="G9" s="37"/>
      <c r="H9" s="37"/>
      <c r="I9" s="37"/>
      <c r="J9" s="37"/>
      <c r="K9" s="37"/>
      <c r="L9" s="37"/>
      <c r="M9" s="37"/>
      <c r="N9" s="37"/>
      <c r="O9" s="37"/>
      <c r="P9" s="32" t="s">
        <v>325</v>
      </c>
      <c r="Q9" s="32" t="s">
        <v>325</v>
      </c>
      <c r="R9" s="32" t="s">
        <v>326</v>
      </c>
      <c r="S9" s="32" t="s">
        <v>326</v>
      </c>
      <c r="T9" s="37"/>
      <c r="U9" s="37"/>
      <c r="V9" s="37"/>
      <c r="W9" s="32" t="s">
        <v>327</v>
      </c>
      <c r="X9" s="32" t="s">
        <v>327</v>
      </c>
      <c r="Y9" s="37"/>
      <c r="Z9" s="37"/>
      <c r="AA9" s="37"/>
      <c r="AB9" s="33" t="s">
        <v>328</v>
      </c>
      <c r="AC9" s="37"/>
      <c r="AD9" s="33" t="s">
        <v>330</v>
      </c>
      <c r="AE9" s="33" t="s">
        <v>330</v>
      </c>
      <c r="AF9" s="33" t="s">
        <v>332</v>
      </c>
      <c r="AG9" s="32"/>
      <c r="AH9" s="38"/>
      <c r="AI9" s="38" t="s">
        <v>333</v>
      </c>
      <c r="AJ9" s="38"/>
      <c r="AK9" s="38" t="s">
        <v>321</v>
      </c>
      <c r="AL9" s="38" t="s">
        <v>321</v>
      </c>
      <c r="AM9" s="38" t="s">
        <v>321</v>
      </c>
      <c r="AN9" s="38" t="s">
        <v>321</v>
      </c>
      <c r="AO9" s="38" t="s">
        <v>334</v>
      </c>
      <c r="AP9" s="32"/>
      <c r="AQ9" s="32"/>
      <c r="AR9" s="32"/>
      <c r="AS9" s="32"/>
      <c r="AT9" s="32"/>
      <c r="AU9" s="44"/>
      <c r="AV9" s="45"/>
      <c r="AW9" s="37"/>
      <c r="AX9" s="37"/>
      <c r="AY9" s="46"/>
      <c r="AZ9" s="46"/>
      <c r="BA9" s="46"/>
      <c r="BB9" s="46"/>
      <c r="BC9" s="46"/>
    </row>
    <row r="10" ht="15.75" customHeight="1">
      <c r="A10" s="58" t="s">
        <v>338</v>
      </c>
      <c r="B10" s="59"/>
      <c r="C10" s="59"/>
      <c r="D10" s="59"/>
      <c r="E10" s="46"/>
      <c r="F10" s="46"/>
      <c r="G10" s="46"/>
      <c r="H10" s="46"/>
      <c r="I10" s="46"/>
      <c r="J10" s="46"/>
      <c r="K10" s="46"/>
      <c r="L10" s="46"/>
      <c r="M10" s="46"/>
      <c r="N10" s="46"/>
      <c r="O10" s="46"/>
      <c r="P10" s="46"/>
      <c r="Q10" s="46"/>
      <c r="R10" s="46"/>
      <c r="S10" s="46"/>
      <c r="T10" s="46"/>
      <c r="U10" s="46"/>
      <c r="V10" s="60" t="s">
        <v>342</v>
      </c>
      <c r="W10" s="60" t="s">
        <v>343</v>
      </c>
      <c r="X10" s="46"/>
      <c r="Y10" s="61" t="s">
        <v>344</v>
      </c>
      <c r="Z10" s="60" t="s">
        <v>345</v>
      </c>
      <c r="AA10" s="61" t="s">
        <v>347</v>
      </c>
      <c r="AB10" s="60" t="s">
        <v>347</v>
      </c>
      <c r="AC10" s="60" t="s">
        <v>347</v>
      </c>
      <c r="AD10" s="60" t="s">
        <v>349</v>
      </c>
      <c r="AE10" s="60" t="s">
        <v>350</v>
      </c>
      <c r="AF10" s="62"/>
      <c r="AG10" s="63"/>
      <c r="AH10" s="64" t="s">
        <v>351</v>
      </c>
      <c r="AI10" s="63"/>
      <c r="AJ10" s="64" t="s">
        <v>352</v>
      </c>
      <c r="AK10" s="64" t="s">
        <v>354</v>
      </c>
      <c r="AL10" s="63"/>
      <c r="AM10" s="63"/>
      <c r="AN10" s="64" t="s">
        <v>355</v>
      </c>
      <c r="AO10" s="64" t="s">
        <v>356</v>
      </c>
      <c r="AP10" s="63"/>
      <c r="AQ10" s="65" t="s">
        <v>356</v>
      </c>
      <c r="AR10" s="63"/>
      <c r="AS10" s="63"/>
      <c r="AT10" s="63"/>
      <c r="AU10" s="44"/>
      <c r="AV10" s="45"/>
      <c r="AW10" s="46"/>
      <c r="AX10" s="46"/>
      <c r="AY10" s="46"/>
      <c r="AZ10" s="46"/>
      <c r="BA10" s="46"/>
      <c r="BB10" s="46"/>
      <c r="BC10" s="46"/>
    </row>
    <row r="11" ht="15.75" customHeight="1">
      <c r="A11" s="46"/>
      <c r="B11" s="59"/>
      <c r="C11" s="59"/>
      <c r="D11" s="59"/>
      <c r="E11" s="46"/>
      <c r="F11" s="46"/>
      <c r="G11" s="46"/>
      <c r="H11" s="46"/>
      <c r="I11" s="46"/>
      <c r="J11" s="46"/>
      <c r="K11" s="46"/>
      <c r="L11" s="46"/>
      <c r="M11" s="46"/>
      <c r="N11" s="46"/>
      <c r="O11" s="46"/>
      <c r="P11" s="46"/>
      <c r="Q11" s="46"/>
      <c r="R11" s="46"/>
      <c r="S11" s="46"/>
      <c r="T11" s="46"/>
      <c r="U11" s="46"/>
      <c r="V11" s="60" t="s">
        <v>359</v>
      </c>
      <c r="W11" s="60" t="s">
        <v>360</v>
      </c>
      <c r="X11" s="46"/>
      <c r="Y11" s="46"/>
      <c r="Z11" s="46"/>
      <c r="AA11" s="66" t="s">
        <v>361</v>
      </c>
      <c r="AB11" s="60" t="s">
        <v>362</v>
      </c>
      <c r="AC11" s="60" t="s">
        <v>364</v>
      </c>
      <c r="AD11" s="62"/>
      <c r="AE11" s="62"/>
      <c r="AF11" s="62"/>
      <c r="AG11" s="63"/>
      <c r="AH11" s="63"/>
      <c r="AI11" s="63"/>
      <c r="AJ11" s="64" t="s">
        <v>365</v>
      </c>
      <c r="AK11" s="64" t="s">
        <v>366</v>
      </c>
      <c r="AL11" s="63"/>
      <c r="AM11" s="63"/>
      <c r="AN11" s="64" t="s">
        <v>367</v>
      </c>
      <c r="AO11" s="63" t="s">
        <v>367</v>
      </c>
      <c r="AP11" s="63"/>
      <c r="AQ11" s="63"/>
      <c r="AR11" s="63"/>
      <c r="AS11" s="63"/>
      <c r="AT11" s="63"/>
      <c r="AU11" s="44"/>
      <c r="AV11" s="45"/>
      <c r="AW11" s="46"/>
      <c r="AX11" s="46"/>
      <c r="AY11" s="46"/>
      <c r="AZ11" s="46"/>
      <c r="BA11" s="46"/>
      <c r="BB11" s="46"/>
      <c r="BC11" s="46"/>
    </row>
    <row r="12" ht="15.75" customHeight="1">
      <c r="A12" s="46"/>
      <c r="B12" s="59"/>
      <c r="C12" s="59"/>
      <c r="D12" s="59"/>
      <c r="E12" s="46"/>
      <c r="F12" s="46"/>
      <c r="G12" s="46"/>
      <c r="H12" s="46"/>
      <c r="I12" s="46"/>
      <c r="J12" s="46"/>
      <c r="K12" s="46"/>
      <c r="L12" s="46"/>
      <c r="M12" s="46"/>
      <c r="N12" s="46"/>
      <c r="O12" s="46"/>
      <c r="P12" s="46"/>
      <c r="Q12" s="46"/>
      <c r="R12" s="46"/>
      <c r="S12" s="46"/>
      <c r="T12" s="46"/>
      <c r="U12" s="46"/>
      <c r="V12" s="61" t="s">
        <v>370</v>
      </c>
      <c r="W12" s="61" t="s">
        <v>371</v>
      </c>
      <c r="X12" s="61" t="s">
        <v>371</v>
      </c>
      <c r="Y12" s="46"/>
      <c r="Z12" s="46"/>
      <c r="AA12" s="46"/>
      <c r="AB12" s="66" t="s">
        <v>372</v>
      </c>
      <c r="AC12" s="66" t="s">
        <v>372</v>
      </c>
      <c r="AD12" s="66" t="s">
        <v>372</v>
      </c>
      <c r="AE12" s="68" t="s">
        <v>372</v>
      </c>
      <c r="AF12" s="64" t="s">
        <v>372</v>
      </c>
      <c r="AG12" s="64" t="s">
        <v>373</v>
      </c>
      <c r="AH12" s="64" t="s">
        <v>374</v>
      </c>
      <c r="AI12" s="64" t="s">
        <v>374</v>
      </c>
      <c r="AJ12" s="64" t="s">
        <v>374</v>
      </c>
      <c r="AK12" s="63"/>
      <c r="AL12" s="63"/>
      <c r="AM12" s="63"/>
      <c r="AN12" s="63"/>
      <c r="AO12" s="64" t="s">
        <v>355</v>
      </c>
      <c r="AP12" s="63"/>
      <c r="AQ12" s="63"/>
      <c r="AR12" s="65" t="s">
        <v>355</v>
      </c>
      <c r="AS12" s="63"/>
      <c r="AT12" s="69" t="s">
        <v>374</v>
      </c>
      <c r="AU12" s="44"/>
      <c r="AV12" s="45"/>
      <c r="AW12" s="46"/>
      <c r="AX12" s="46"/>
      <c r="AY12" s="46"/>
      <c r="AZ12" s="46"/>
      <c r="BA12" s="46"/>
      <c r="BB12" s="46"/>
      <c r="BC12" s="46"/>
    </row>
    <row r="13" ht="15.75" customHeight="1">
      <c r="A13" s="46"/>
      <c r="B13" s="59"/>
      <c r="C13" s="59"/>
      <c r="D13" s="59"/>
      <c r="E13" s="46"/>
      <c r="F13" s="46"/>
      <c r="G13" s="46"/>
      <c r="H13" s="46"/>
      <c r="I13" s="46"/>
      <c r="J13" s="46"/>
      <c r="K13" s="46"/>
      <c r="L13" s="46"/>
      <c r="M13" s="46"/>
      <c r="N13" s="46"/>
      <c r="O13" s="46"/>
      <c r="P13" s="46"/>
      <c r="Q13" s="46"/>
      <c r="R13" s="46"/>
      <c r="S13" s="46"/>
      <c r="T13" s="46"/>
      <c r="U13" s="46"/>
      <c r="V13" s="60" t="s">
        <v>377</v>
      </c>
      <c r="W13" s="46"/>
      <c r="X13" s="46"/>
      <c r="Y13" s="46"/>
      <c r="Z13" s="46"/>
      <c r="AA13" s="46"/>
      <c r="AB13" s="60" t="s">
        <v>378</v>
      </c>
      <c r="AC13" s="60" t="s">
        <v>378</v>
      </c>
      <c r="AD13" s="60" t="s">
        <v>378</v>
      </c>
      <c r="AE13" s="60" t="s">
        <v>378</v>
      </c>
      <c r="AF13" s="62"/>
      <c r="AG13" s="63"/>
      <c r="AH13" s="63"/>
      <c r="AI13" s="64" t="s">
        <v>379</v>
      </c>
      <c r="AJ13" s="64" t="s">
        <v>380</v>
      </c>
      <c r="AK13" s="64" t="s">
        <v>381</v>
      </c>
      <c r="AL13" s="63"/>
      <c r="AM13" s="63"/>
      <c r="AN13" s="63"/>
      <c r="AO13" s="64" t="s">
        <v>382</v>
      </c>
      <c r="AP13" s="63"/>
      <c r="AQ13" s="63"/>
      <c r="AR13" s="63"/>
      <c r="AS13" s="63"/>
      <c r="AT13" s="63"/>
      <c r="AU13" s="44"/>
      <c r="AV13" s="45"/>
      <c r="AW13" s="46"/>
      <c r="AX13" s="46"/>
      <c r="AY13" s="46"/>
      <c r="AZ13" s="46"/>
      <c r="BA13" s="46"/>
      <c r="BB13" s="46"/>
      <c r="BC13" s="46"/>
    </row>
    <row r="14" ht="15.75" customHeight="1">
      <c r="A14" s="46"/>
      <c r="B14" s="59"/>
      <c r="C14" s="59"/>
      <c r="D14" s="59"/>
      <c r="E14" s="46"/>
      <c r="F14" s="46"/>
      <c r="G14" s="46"/>
      <c r="H14" s="46"/>
      <c r="I14" s="46"/>
      <c r="J14" s="46"/>
      <c r="K14" s="46"/>
      <c r="L14" s="46"/>
      <c r="M14" s="46"/>
      <c r="N14" s="46"/>
      <c r="O14" s="46"/>
      <c r="P14" s="46"/>
      <c r="Q14" s="46"/>
      <c r="R14" s="46"/>
      <c r="S14" s="46"/>
      <c r="T14" s="46"/>
      <c r="U14" s="46"/>
      <c r="V14" s="60" t="s">
        <v>384</v>
      </c>
      <c r="W14" s="46"/>
      <c r="X14" s="46"/>
      <c r="Y14" s="46"/>
      <c r="Z14" s="46"/>
      <c r="AA14" s="46"/>
      <c r="AB14" s="70" t="s">
        <v>385</v>
      </c>
      <c r="AC14" s="70" t="s">
        <v>386</v>
      </c>
      <c r="AD14" s="70" t="s">
        <v>386</v>
      </c>
      <c r="AE14" s="60" t="s">
        <v>386</v>
      </c>
      <c r="AF14" s="61"/>
      <c r="AG14" s="63"/>
      <c r="AH14" s="63"/>
      <c r="AI14" s="61"/>
      <c r="AJ14" s="71" t="s">
        <v>387</v>
      </c>
      <c r="AK14" s="63"/>
      <c r="AL14" s="61"/>
      <c r="AM14" s="63"/>
      <c r="AN14" s="63"/>
      <c r="AO14" s="65" t="s">
        <v>388</v>
      </c>
      <c r="AP14" s="63"/>
      <c r="AQ14" s="63"/>
      <c r="AR14" s="63"/>
      <c r="AS14" s="63"/>
      <c r="AT14" s="63"/>
      <c r="AU14" s="44"/>
      <c r="AV14" s="45"/>
      <c r="AW14" s="46"/>
      <c r="AX14" s="46"/>
      <c r="AY14" s="46"/>
      <c r="AZ14" s="46"/>
      <c r="BA14" s="46"/>
      <c r="BB14" s="46"/>
      <c r="BC14" s="46"/>
    </row>
    <row r="15" ht="15.75" customHeight="1">
      <c r="A15" s="46"/>
      <c r="B15" s="59"/>
      <c r="C15" s="59"/>
      <c r="D15" s="59"/>
      <c r="E15" s="46"/>
      <c r="F15" s="46"/>
      <c r="G15" s="46"/>
      <c r="H15" s="46"/>
      <c r="I15" s="46"/>
      <c r="J15" s="46"/>
      <c r="K15" s="46"/>
      <c r="L15" s="46"/>
      <c r="M15" s="46"/>
      <c r="N15" s="46"/>
      <c r="O15" s="46"/>
      <c r="P15" s="46"/>
      <c r="Q15" s="46"/>
      <c r="R15" s="46"/>
      <c r="S15" s="46"/>
      <c r="T15" s="46"/>
      <c r="U15" s="46"/>
      <c r="V15" s="61" t="s">
        <v>391</v>
      </c>
      <c r="W15" s="61" t="s">
        <v>391</v>
      </c>
      <c r="X15" s="61" t="s">
        <v>392</v>
      </c>
      <c r="Y15" s="61" t="s">
        <v>393</v>
      </c>
      <c r="Z15" s="46"/>
      <c r="AA15" s="61" t="s">
        <v>393</v>
      </c>
      <c r="AB15" s="46"/>
      <c r="AC15" s="60" t="s">
        <v>394</v>
      </c>
      <c r="AD15" s="62"/>
      <c r="AE15" s="62"/>
      <c r="AF15" s="62"/>
      <c r="AG15" s="63"/>
      <c r="AH15" s="63"/>
      <c r="AI15" s="63"/>
      <c r="AJ15" s="64" t="s">
        <v>398</v>
      </c>
      <c r="AK15" s="64" t="s">
        <v>398</v>
      </c>
      <c r="AL15" s="63"/>
      <c r="AM15" s="63"/>
      <c r="AN15" s="63"/>
      <c r="AO15" s="63"/>
      <c r="AP15" s="63"/>
      <c r="AQ15" s="63"/>
      <c r="AR15" s="63"/>
      <c r="AS15" s="63"/>
      <c r="AT15" s="63"/>
      <c r="AU15" s="44"/>
      <c r="AV15" s="45"/>
      <c r="AW15" s="46"/>
      <c r="AX15" s="46"/>
      <c r="AY15" s="46"/>
      <c r="AZ15" s="46"/>
      <c r="BA15" s="46"/>
      <c r="BB15" s="46"/>
      <c r="BC15" s="46"/>
    </row>
    <row r="16" ht="15.75" customHeight="1">
      <c r="A16" s="46"/>
      <c r="B16" s="59"/>
      <c r="C16" s="59"/>
      <c r="D16" s="59"/>
      <c r="E16" s="46"/>
      <c r="F16" s="46"/>
      <c r="G16" s="46"/>
      <c r="H16" s="46"/>
      <c r="I16" s="46"/>
      <c r="J16" s="46"/>
      <c r="K16" s="46"/>
      <c r="L16" s="46"/>
      <c r="M16" s="46"/>
      <c r="N16" s="46"/>
      <c r="O16" s="46"/>
      <c r="P16" s="46"/>
      <c r="Q16" s="46"/>
      <c r="R16" s="46"/>
      <c r="S16" s="46"/>
      <c r="T16" s="46"/>
      <c r="U16" s="46"/>
      <c r="V16" s="61" t="s">
        <v>403</v>
      </c>
      <c r="W16" s="61" t="s">
        <v>403</v>
      </c>
      <c r="X16" s="61" t="s">
        <v>404</v>
      </c>
      <c r="Y16" s="46"/>
      <c r="Z16" s="46"/>
      <c r="AA16" s="46"/>
      <c r="AB16" s="46"/>
      <c r="AC16" s="46"/>
      <c r="AD16" s="62"/>
      <c r="AE16" s="62"/>
      <c r="AF16" s="62"/>
      <c r="AG16" s="63"/>
      <c r="AH16" s="63"/>
      <c r="AI16" s="63"/>
      <c r="AJ16" s="64" t="s">
        <v>405</v>
      </c>
      <c r="AK16" s="64" t="s">
        <v>406</v>
      </c>
      <c r="AL16" s="63"/>
      <c r="AM16" s="63"/>
      <c r="AN16" s="63"/>
      <c r="AO16" s="63"/>
      <c r="AP16" s="63"/>
      <c r="AQ16" s="63"/>
      <c r="AR16" s="63"/>
      <c r="AS16" s="63"/>
      <c r="AT16" s="63"/>
      <c r="AU16" s="44"/>
      <c r="AV16" s="45"/>
      <c r="AW16" s="46"/>
      <c r="AX16" s="46"/>
      <c r="AY16" s="46"/>
      <c r="AZ16" s="46"/>
      <c r="BA16" s="46"/>
      <c r="BB16" s="46"/>
      <c r="BC16" s="46"/>
    </row>
    <row r="17" ht="15.75" customHeight="1">
      <c r="A17" s="46"/>
      <c r="B17" s="59"/>
      <c r="C17" s="59"/>
      <c r="D17" s="59"/>
      <c r="E17" s="46"/>
      <c r="F17" s="46"/>
      <c r="G17" s="46"/>
      <c r="H17" s="46"/>
      <c r="I17" s="46"/>
      <c r="J17" s="46"/>
      <c r="K17" s="46"/>
      <c r="L17" s="46"/>
      <c r="M17" s="46"/>
      <c r="N17" s="46"/>
      <c r="O17" s="46"/>
      <c r="P17" s="46"/>
      <c r="Q17" s="46"/>
      <c r="R17" s="46"/>
      <c r="S17" s="46"/>
      <c r="T17" s="46"/>
      <c r="U17" s="46"/>
      <c r="V17" s="46"/>
      <c r="W17" s="61" t="s">
        <v>409</v>
      </c>
      <c r="X17" s="61" t="s">
        <v>409</v>
      </c>
      <c r="Y17" s="46"/>
      <c r="Z17" s="61" t="s">
        <v>410</v>
      </c>
      <c r="AA17" s="61" t="s">
        <v>411</v>
      </c>
      <c r="AB17" s="60" t="s">
        <v>411</v>
      </c>
      <c r="AC17" s="70" t="s">
        <v>412</v>
      </c>
      <c r="AD17" s="70" t="s">
        <v>412</v>
      </c>
      <c r="AE17" s="60" t="s">
        <v>412</v>
      </c>
      <c r="AF17" s="71" t="s">
        <v>412</v>
      </c>
      <c r="AG17" s="63"/>
      <c r="AH17" s="71" t="s">
        <v>412</v>
      </c>
      <c r="AI17" s="71" t="s">
        <v>414</v>
      </c>
      <c r="AJ17" s="63"/>
      <c r="AK17" s="63"/>
      <c r="AL17" s="63"/>
      <c r="AM17" s="63"/>
      <c r="AN17" s="63"/>
      <c r="AO17" s="63"/>
      <c r="AP17" s="63"/>
      <c r="AQ17" s="63"/>
      <c r="AR17" s="63"/>
      <c r="AS17" s="63"/>
      <c r="AT17" s="63"/>
      <c r="AU17" s="44"/>
      <c r="AV17" s="45"/>
      <c r="AW17" s="46"/>
      <c r="AX17" s="46"/>
      <c r="AY17" s="46"/>
      <c r="AZ17" s="46"/>
      <c r="BA17" s="46"/>
      <c r="BB17" s="46"/>
      <c r="BC17" s="46"/>
    </row>
    <row r="18" ht="15.75" customHeight="1">
      <c r="A18" s="46"/>
      <c r="B18" s="59"/>
      <c r="C18" s="59"/>
      <c r="D18" s="59"/>
      <c r="E18" s="46"/>
      <c r="F18" s="46"/>
      <c r="G18" s="46"/>
      <c r="H18" s="46"/>
      <c r="I18" s="46"/>
      <c r="J18" s="46"/>
      <c r="K18" s="46"/>
      <c r="L18" s="46"/>
      <c r="M18" s="46"/>
      <c r="N18" s="46"/>
      <c r="O18" s="46"/>
      <c r="P18" s="46"/>
      <c r="Q18" s="46"/>
      <c r="R18" s="46"/>
      <c r="S18" s="46"/>
      <c r="T18" s="46"/>
      <c r="U18" s="46"/>
      <c r="V18" s="46"/>
      <c r="W18" s="60" t="s">
        <v>432</v>
      </c>
      <c r="X18" s="46"/>
      <c r="Y18" s="46"/>
      <c r="Z18" s="46"/>
      <c r="AA18" s="61" t="s">
        <v>441</v>
      </c>
      <c r="AB18" s="60" t="s">
        <v>441</v>
      </c>
      <c r="AC18" s="46"/>
      <c r="AD18" s="62"/>
      <c r="AE18" s="62"/>
      <c r="AF18" s="71" t="s">
        <v>450</v>
      </c>
      <c r="AG18" s="64" t="s">
        <v>452</v>
      </c>
      <c r="AH18" s="63"/>
      <c r="AI18" s="63"/>
      <c r="AJ18" s="63"/>
      <c r="AK18" s="63"/>
      <c r="AL18" s="63"/>
      <c r="AM18" s="63"/>
      <c r="AN18" s="63"/>
      <c r="AO18" s="63"/>
      <c r="AP18" s="63"/>
      <c r="AQ18" s="63"/>
      <c r="AR18" s="63"/>
      <c r="AS18" s="63"/>
      <c r="AT18" s="63"/>
      <c r="AU18" s="44"/>
      <c r="AV18" s="45"/>
      <c r="AW18" s="46"/>
      <c r="AX18" s="46"/>
      <c r="AY18" s="46"/>
      <c r="AZ18" s="46"/>
      <c r="BA18" s="46"/>
      <c r="BB18" s="46"/>
      <c r="BC18" s="46"/>
    </row>
    <row r="19" ht="15.75" customHeight="1">
      <c r="A19" s="29" t="s">
        <v>471</v>
      </c>
      <c r="B19" s="37"/>
      <c r="C19" s="37"/>
      <c r="D19" s="37"/>
      <c r="E19" s="37"/>
      <c r="F19" s="37"/>
      <c r="G19" s="37"/>
      <c r="H19" s="37"/>
      <c r="I19" s="37"/>
      <c r="J19" s="37"/>
      <c r="K19" s="37"/>
      <c r="L19" s="37"/>
      <c r="M19" s="37"/>
      <c r="N19" s="37"/>
      <c r="O19" s="37"/>
      <c r="P19" s="37"/>
      <c r="Q19" s="37"/>
      <c r="R19" s="37"/>
      <c r="S19" s="37"/>
      <c r="T19" s="37"/>
      <c r="U19" s="33" t="s">
        <v>484</v>
      </c>
      <c r="V19" s="33" t="s">
        <v>486</v>
      </c>
      <c r="W19" s="33" t="s">
        <v>487</v>
      </c>
      <c r="X19" s="34" t="s">
        <v>490</v>
      </c>
      <c r="Y19" s="33" t="s">
        <v>493</v>
      </c>
      <c r="Z19" s="34" t="s">
        <v>490</v>
      </c>
      <c r="AA19" s="32" t="s">
        <v>490</v>
      </c>
      <c r="AB19" s="34" t="s">
        <v>490</v>
      </c>
      <c r="AC19" s="34" t="s">
        <v>499</v>
      </c>
      <c r="AD19" s="33" t="s">
        <v>499</v>
      </c>
      <c r="AE19" s="33" t="s">
        <v>502</v>
      </c>
      <c r="AF19" s="38" t="s">
        <v>502</v>
      </c>
      <c r="AG19" s="38" t="s">
        <v>502</v>
      </c>
      <c r="AH19" s="38" t="s">
        <v>502</v>
      </c>
      <c r="AI19" s="38" t="s">
        <v>502</v>
      </c>
      <c r="AJ19" s="32"/>
      <c r="AK19" s="32"/>
      <c r="AL19" s="38" t="s">
        <v>512</v>
      </c>
      <c r="AM19" s="32"/>
      <c r="AN19" s="38" t="s">
        <v>515</v>
      </c>
      <c r="AO19" s="38" t="s">
        <v>502</v>
      </c>
      <c r="AP19" s="43" t="s">
        <v>521</v>
      </c>
      <c r="AQ19" s="32"/>
      <c r="AR19" s="43" t="s">
        <v>502</v>
      </c>
      <c r="AS19" s="32"/>
      <c r="AT19" s="32"/>
      <c r="AU19" s="44"/>
      <c r="AV19" s="45"/>
      <c r="AW19" s="37"/>
      <c r="AX19" s="37"/>
      <c r="AY19" s="37"/>
      <c r="AZ19" s="37"/>
      <c r="BA19" s="37"/>
      <c r="BB19" s="37"/>
      <c r="BC19" s="37"/>
    </row>
    <row r="20" ht="15.75" customHeight="1">
      <c r="A20" s="37"/>
      <c r="B20" s="31"/>
      <c r="C20" s="32" t="s">
        <v>545</v>
      </c>
      <c r="D20" s="31"/>
      <c r="E20" s="31"/>
      <c r="F20" s="31"/>
      <c r="G20" s="31"/>
      <c r="H20" s="32" t="s">
        <v>552</v>
      </c>
      <c r="I20" s="32" t="s">
        <v>554</v>
      </c>
      <c r="J20" s="32" t="s">
        <v>556</v>
      </c>
      <c r="K20" s="32" t="s">
        <v>557</v>
      </c>
      <c r="L20" s="32" t="s">
        <v>561</v>
      </c>
      <c r="M20" s="32" t="s">
        <v>563</v>
      </c>
      <c r="N20" s="32" t="s">
        <v>563</v>
      </c>
      <c r="O20" s="32" t="s">
        <v>565</v>
      </c>
      <c r="P20" s="33" t="s">
        <v>569</v>
      </c>
      <c r="Q20" s="33" t="s">
        <v>571</v>
      </c>
      <c r="R20" s="33" t="s">
        <v>573</v>
      </c>
      <c r="S20" s="32" t="s">
        <v>576</v>
      </c>
      <c r="T20" s="31"/>
      <c r="U20" s="33" t="s">
        <v>579</v>
      </c>
      <c r="V20" s="33" t="s">
        <v>581</v>
      </c>
      <c r="W20" s="33" t="s">
        <v>584</v>
      </c>
      <c r="X20" s="33" t="s">
        <v>588</v>
      </c>
      <c r="Y20" s="33" t="s">
        <v>589</v>
      </c>
      <c r="Z20" s="31"/>
      <c r="AA20" s="31"/>
      <c r="AB20" s="31"/>
      <c r="AC20" s="33" t="s">
        <v>595</v>
      </c>
      <c r="AD20" s="33" t="s">
        <v>597</v>
      </c>
      <c r="AE20" s="32"/>
      <c r="AF20" s="38" t="s">
        <v>599</v>
      </c>
      <c r="AG20" s="38" t="s">
        <v>599</v>
      </c>
      <c r="AH20" s="38" t="s">
        <v>599</v>
      </c>
      <c r="AI20" s="38" t="s">
        <v>600</v>
      </c>
      <c r="AJ20" s="32"/>
      <c r="AK20" s="32"/>
      <c r="AL20" s="32"/>
      <c r="AM20" s="32"/>
      <c r="AN20" s="32"/>
      <c r="AO20" s="38" t="s">
        <v>604</v>
      </c>
      <c r="AP20" s="32"/>
      <c r="AQ20" s="32"/>
      <c r="AR20" s="32"/>
      <c r="AS20" s="32"/>
      <c r="AT20" s="32"/>
      <c r="AU20" s="43" t="s">
        <v>604</v>
      </c>
      <c r="AV20" s="45"/>
      <c r="AW20" s="37"/>
      <c r="AX20" s="37"/>
      <c r="AY20" s="37"/>
      <c r="AZ20" s="37"/>
      <c r="BA20" s="37"/>
      <c r="BB20" s="37"/>
      <c r="BC20" s="37"/>
    </row>
    <row r="21" ht="15.75" customHeight="1">
      <c r="A21" s="37"/>
      <c r="B21" s="31"/>
      <c r="C21" s="32" t="s">
        <v>613</v>
      </c>
      <c r="D21" s="31"/>
      <c r="E21" s="31"/>
      <c r="F21" s="31"/>
      <c r="G21" s="32" t="s">
        <v>616</v>
      </c>
      <c r="H21" s="32" t="s">
        <v>618</v>
      </c>
      <c r="I21" s="32" t="s">
        <v>619</v>
      </c>
      <c r="J21" s="32" t="s">
        <v>621</v>
      </c>
      <c r="K21" s="32" t="s">
        <v>622</v>
      </c>
      <c r="L21" s="49" t="s">
        <v>624</v>
      </c>
      <c r="M21" s="31"/>
      <c r="N21" s="31"/>
      <c r="O21" s="31"/>
      <c r="P21" s="32" t="s">
        <v>627</v>
      </c>
      <c r="Q21" s="32" t="s">
        <v>628</v>
      </c>
      <c r="R21" s="32" t="s">
        <v>631</v>
      </c>
      <c r="S21" s="32" t="s">
        <v>632</v>
      </c>
      <c r="T21" s="32" t="s">
        <v>634</v>
      </c>
      <c r="U21" s="33" t="s">
        <v>634</v>
      </c>
      <c r="V21" s="33" t="s">
        <v>636</v>
      </c>
      <c r="W21" s="33" t="s">
        <v>637</v>
      </c>
      <c r="X21" s="31"/>
      <c r="Y21" s="33" t="s">
        <v>639</v>
      </c>
      <c r="Z21" s="31"/>
      <c r="AA21" s="33" t="s">
        <v>641</v>
      </c>
      <c r="AB21" s="31"/>
      <c r="AC21" s="33" t="s">
        <v>643</v>
      </c>
      <c r="AD21" s="33" t="s">
        <v>644</v>
      </c>
      <c r="AE21" s="38" t="s">
        <v>646</v>
      </c>
      <c r="AF21" s="38" t="s">
        <v>647</v>
      </c>
      <c r="AG21" s="38" t="s">
        <v>647</v>
      </c>
      <c r="AH21" s="32"/>
      <c r="AI21" s="38" t="s">
        <v>648</v>
      </c>
      <c r="AJ21" s="32"/>
      <c r="AK21" s="32"/>
      <c r="AL21" s="32"/>
      <c r="AM21" s="32"/>
      <c r="AN21" s="32"/>
      <c r="AO21" s="43" t="s">
        <v>94</v>
      </c>
      <c r="AP21" s="32"/>
      <c r="AQ21" s="32"/>
      <c r="AR21" s="32"/>
      <c r="AS21" s="32"/>
      <c r="AT21" s="32"/>
      <c r="AU21" s="44"/>
      <c r="AV21" s="45"/>
      <c r="AW21" s="37"/>
      <c r="AX21" s="37"/>
      <c r="AY21" s="37"/>
      <c r="AZ21" s="37"/>
      <c r="BA21" s="37"/>
      <c r="BB21" s="37"/>
      <c r="BC21" s="37"/>
    </row>
    <row r="22" ht="15.75" customHeight="1">
      <c r="A22" s="37"/>
      <c r="B22" s="32" t="s">
        <v>658</v>
      </c>
      <c r="C22" s="32" t="s">
        <v>659</v>
      </c>
      <c r="D22" s="31"/>
      <c r="E22" s="31"/>
      <c r="F22" s="31"/>
      <c r="G22" s="32" t="s">
        <v>662</v>
      </c>
      <c r="H22" s="32" t="s">
        <v>663</v>
      </c>
      <c r="I22" s="32" t="s">
        <v>664</v>
      </c>
      <c r="J22" s="32" t="s">
        <v>664</v>
      </c>
      <c r="K22" s="32" t="s">
        <v>667</v>
      </c>
      <c r="L22" s="32" t="s">
        <v>667</v>
      </c>
      <c r="M22" s="49" t="s">
        <v>667</v>
      </c>
      <c r="N22" s="31"/>
      <c r="O22" s="31"/>
      <c r="P22" s="31"/>
      <c r="Q22" s="31"/>
      <c r="R22" s="31"/>
      <c r="S22" s="91" t="s">
        <v>671</v>
      </c>
      <c r="T22" s="32" t="s">
        <v>674</v>
      </c>
      <c r="U22" s="33" t="s">
        <v>674</v>
      </c>
      <c r="V22" s="31"/>
      <c r="W22" s="33" t="s">
        <v>677</v>
      </c>
      <c r="X22" s="31"/>
      <c r="Y22" s="33" t="s">
        <v>678</v>
      </c>
      <c r="Z22" s="31"/>
      <c r="AA22" s="31"/>
      <c r="AB22" s="33" t="s">
        <v>681</v>
      </c>
      <c r="AC22" s="33" t="s">
        <v>681</v>
      </c>
      <c r="AD22" s="33" t="s">
        <v>681</v>
      </c>
      <c r="AE22" s="33" t="s">
        <v>683</v>
      </c>
      <c r="AF22" s="38" t="s">
        <v>684</v>
      </c>
      <c r="AG22" s="38" t="s">
        <v>684</v>
      </c>
      <c r="AH22" s="32"/>
      <c r="AI22" s="38" t="s">
        <v>686</v>
      </c>
      <c r="AJ22" s="38" t="s">
        <v>688</v>
      </c>
      <c r="AK22" s="38" t="s">
        <v>689</v>
      </c>
      <c r="AL22" s="32"/>
      <c r="AM22" s="38" t="s">
        <v>690</v>
      </c>
      <c r="AN22" s="38" t="s">
        <v>691</v>
      </c>
      <c r="AO22" s="32"/>
      <c r="AP22" s="32"/>
      <c r="AQ22" s="32"/>
      <c r="AR22" s="32"/>
      <c r="AS22" s="32"/>
      <c r="AT22" s="32"/>
      <c r="AU22" s="44"/>
      <c r="AV22" s="45"/>
      <c r="AW22" s="37"/>
      <c r="AX22" s="37"/>
      <c r="AY22" s="37"/>
      <c r="AZ22" s="37"/>
      <c r="BA22" s="37"/>
      <c r="BB22" s="37"/>
      <c r="BC22" s="37"/>
    </row>
    <row r="23" ht="15.75" customHeight="1">
      <c r="A23" s="37"/>
      <c r="B23" s="31"/>
      <c r="C23" s="31"/>
      <c r="D23" s="31"/>
      <c r="E23" s="31"/>
      <c r="F23" s="31"/>
      <c r="G23" s="31"/>
      <c r="H23" s="31"/>
      <c r="I23" s="32" t="s">
        <v>698</v>
      </c>
      <c r="J23" s="32" t="s">
        <v>699</v>
      </c>
      <c r="K23" s="31"/>
      <c r="L23" s="32" t="s">
        <v>700</v>
      </c>
      <c r="M23" s="49" t="s">
        <v>702</v>
      </c>
      <c r="N23" s="49" t="s">
        <v>703</v>
      </c>
      <c r="O23" s="31"/>
      <c r="P23" s="33" t="s">
        <v>704</v>
      </c>
      <c r="Q23" s="31"/>
      <c r="R23" s="33" t="s">
        <v>706</v>
      </c>
      <c r="S23" s="33" t="s">
        <v>709</v>
      </c>
      <c r="T23" s="33" t="s">
        <v>711</v>
      </c>
      <c r="U23" s="33" t="s">
        <v>712</v>
      </c>
      <c r="V23" s="31"/>
      <c r="W23" s="33" t="s">
        <v>713</v>
      </c>
      <c r="X23" s="33" t="s">
        <v>714</v>
      </c>
      <c r="Y23" s="33" t="s">
        <v>714</v>
      </c>
      <c r="Z23" s="33" t="s">
        <v>716</v>
      </c>
      <c r="AA23" s="31"/>
      <c r="AB23" s="31"/>
      <c r="AC23" s="33" t="s">
        <v>717</v>
      </c>
      <c r="AD23" s="32"/>
      <c r="AE23" s="32"/>
      <c r="AF23" s="38" t="s">
        <v>719</v>
      </c>
      <c r="AG23" s="38" t="s">
        <v>719</v>
      </c>
      <c r="AH23" s="32"/>
      <c r="AI23" s="32"/>
      <c r="AJ23" s="38" t="s">
        <v>720</v>
      </c>
      <c r="AK23" s="38" t="s">
        <v>721</v>
      </c>
      <c r="AL23" s="32"/>
      <c r="AM23" s="38" t="s">
        <v>722</v>
      </c>
      <c r="AN23" s="38" t="s">
        <v>722</v>
      </c>
      <c r="AO23" s="43" t="s">
        <v>723</v>
      </c>
      <c r="AP23" s="32"/>
      <c r="AQ23" s="43" t="s">
        <v>724</v>
      </c>
      <c r="AR23" s="32"/>
      <c r="AS23" s="32"/>
      <c r="AT23" s="32"/>
      <c r="AU23" s="44"/>
      <c r="AV23" s="45"/>
      <c r="AW23" s="46"/>
      <c r="AX23" s="46"/>
      <c r="AY23" s="46"/>
      <c r="AZ23" s="46"/>
      <c r="BA23" s="46"/>
      <c r="BB23" s="46"/>
      <c r="BC23" s="46"/>
    </row>
    <row r="24" ht="15.75" customHeight="1">
      <c r="A24" s="37"/>
      <c r="B24" s="31"/>
      <c r="C24" s="31"/>
      <c r="D24" s="31"/>
      <c r="E24" s="31"/>
      <c r="F24" s="31"/>
      <c r="G24" s="31"/>
      <c r="H24" s="31"/>
      <c r="I24" s="31"/>
      <c r="J24" s="32" t="s">
        <v>733</v>
      </c>
      <c r="K24" s="32" t="s">
        <v>735</v>
      </c>
      <c r="L24" s="31"/>
      <c r="M24" s="49" t="s">
        <v>737</v>
      </c>
      <c r="N24" s="31"/>
      <c r="O24" s="31"/>
      <c r="P24" s="31"/>
      <c r="Q24" s="33" t="s">
        <v>742</v>
      </c>
      <c r="R24" s="33" t="s">
        <v>745</v>
      </c>
      <c r="S24" s="91" t="s">
        <v>746</v>
      </c>
      <c r="T24" s="32" t="s">
        <v>747</v>
      </c>
      <c r="U24" s="33" t="s">
        <v>749</v>
      </c>
      <c r="V24" s="31"/>
      <c r="W24" s="33" t="s">
        <v>752</v>
      </c>
      <c r="X24" s="33" t="s">
        <v>753</v>
      </c>
      <c r="Y24" s="31"/>
      <c r="Z24" s="31"/>
      <c r="AA24" s="31"/>
      <c r="AB24" s="33" t="s">
        <v>755</v>
      </c>
      <c r="AC24" s="31"/>
      <c r="AD24" s="32"/>
      <c r="AE24" s="32"/>
      <c r="AF24" s="38" t="s">
        <v>757</v>
      </c>
      <c r="AG24" s="38" t="s">
        <v>757</v>
      </c>
      <c r="AH24" s="32"/>
      <c r="AI24" s="32"/>
      <c r="AJ24" s="32"/>
      <c r="AK24" s="38" t="s">
        <v>761</v>
      </c>
      <c r="AL24" s="32"/>
      <c r="AM24" s="38" t="s">
        <v>763</v>
      </c>
      <c r="AN24" s="38" t="s">
        <v>763</v>
      </c>
      <c r="AO24" s="38" t="s">
        <v>763</v>
      </c>
      <c r="AP24" s="32"/>
      <c r="AQ24" s="32"/>
      <c r="AR24" s="32"/>
      <c r="AS24" s="32"/>
      <c r="AT24" s="32"/>
      <c r="AU24" s="44"/>
      <c r="AV24" s="45"/>
      <c r="AW24" s="46"/>
      <c r="AX24" s="46"/>
      <c r="AY24" s="46"/>
      <c r="AZ24" s="46"/>
      <c r="BA24" s="46"/>
      <c r="BB24" s="46"/>
      <c r="BC24" s="46"/>
    </row>
    <row r="25" ht="15.75" customHeight="1">
      <c r="A25" s="37"/>
      <c r="B25" s="31"/>
      <c r="C25" s="31"/>
      <c r="D25" s="31"/>
      <c r="E25" s="31"/>
      <c r="F25" s="31"/>
      <c r="G25" s="31"/>
      <c r="H25" s="31"/>
      <c r="I25" s="31"/>
      <c r="J25" s="32" t="s">
        <v>769</v>
      </c>
      <c r="K25" s="31"/>
      <c r="L25" s="31"/>
      <c r="M25" s="32" t="s">
        <v>770</v>
      </c>
      <c r="N25" s="32" t="s">
        <v>770</v>
      </c>
      <c r="O25" s="32" t="s">
        <v>770</v>
      </c>
      <c r="P25" s="32" t="s">
        <v>773</v>
      </c>
      <c r="Q25" s="33" t="s">
        <v>774</v>
      </c>
      <c r="R25" s="33" t="s">
        <v>776</v>
      </c>
      <c r="S25" s="32" t="s">
        <v>777</v>
      </c>
      <c r="T25" s="33" t="s">
        <v>778</v>
      </c>
      <c r="U25" s="31"/>
      <c r="V25" s="31"/>
      <c r="W25" s="33" t="s">
        <v>781</v>
      </c>
      <c r="X25" s="33" t="s">
        <v>783</v>
      </c>
      <c r="Y25" s="33" t="s">
        <v>784</v>
      </c>
      <c r="Z25" s="31"/>
      <c r="AA25" s="32" t="s">
        <v>786</v>
      </c>
      <c r="AB25" s="31"/>
      <c r="AC25" s="33" t="s">
        <v>786</v>
      </c>
      <c r="AD25" s="32"/>
      <c r="AE25" s="32"/>
      <c r="AF25" s="38" t="s">
        <v>789</v>
      </c>
      <c r="AG25" s="32"/>
      <c r="AH25" s="38" t="s">
        <v>791</v>
      </c>
      <c r="AI25" s="32"/>
      <c r="AJ25" s="32"/>
      <c r="AK25" s="32"/>
      <c r="AL25" s="32"/>
      <c r="AM25" s="32"/>
      <c r="AN25" s="32"/>
      <c r="AO25" s="43" t="s">
        <v>795</v>
      </c>
      <c r="AP25" s="32"/>
      <c r="AQ25" s="32"/>
      <c r="AR25" s="32"/>
      <c r="AS25" s="32"/>
      <c r="AT25" s="32"/>
      <c r="AU25" s="44"/>
      <c r="AV25" s="45"/>
      <c r="AW25" s="46"/>
      <c r="AX25" s="46"/>
      <c r="AY25" s="46"/>
      <c r="AZ25" s="46"/>
      <c r="BA25" s="46"/>
      <c r="BB25" s="46"/>
      <c r="BC25" s="46"/>
    </row>
    <row r="26" ht="15.75" customHeight="1">
      <c r="A26" s="37"/>
      <c r="B26" s="31"/>
      <c r="C26" s="31"/>
      <c r="D26" s="31"/>
      <c r="E26" s="31"/>
      <c r="F26" s="31"/>
      <c r="G26" s="31"/>
      <c r="H26" s="31"/>
      <c r="I26" s="31"/>
      <c r="J26" s="31"/>
      <c r="K26" s="31"/>
      <c r="L26" s="31"/>
      <c r="M26" s="32" t="s">
        <v>812</v>
      </c>
      <c r="N26" s="32" t="s">
        <v>812</v>
      </c>
      <c r="O26" s="32" t="s">
        <v>812</v>
      </c>
      <c r="P26" s="32" t="s">
        <v>812</v>
      </c>
      <c r="Q26" s="32" t="s">
        <v>812</v>
      </c>
      <c r="R26" s="32" t="s">
        <v>812</v>
      </c>
      <c r="S26" s="32" t="s">
        <v>812</v>
      </c>
      <c r="T26" s="32" t="s">
        <v>816</v>
      </c>
      <c r="U26" s="31"/>
      <c r="V26" s="31"/>
      <c r="W26" s="33" t="s">
        <v>817</v>
      </c>
      <c r="X26" s="31"/>
      <c r="Y26" s="31"/>
      <c r="Z26" s="31"/>
      <c r="AA26" s="31"/>
      <c r="AB26" s="31"/>
      <c r="AC26" s="31"/>
      <c r="AD26" s="32"/>
      <c r="AE26" s="32"/>
      <c r="AF26" s="38" t="s">
        <v>819</v>
      </c>
      <c r="AG26" s="32"/>
      <c r="AH26" s="32"/>
      <c r="AI26" s="32"/>
      <c r="AJ26" s="32"/>
      <c r="AK26" s="32"/>
      <c r="AL26" s="32"/>
      <c r="AM26" s="32"/>
      <c r="AN26" s="32"/>
      <c r="AO26" s="32"/>
      <c r="AP26" s="32"/>
      <c r="AQ26" s="32"/>
      <c r="AR26" s="32"/>
      <c r="AS26" s="32"/>
      <c r="AT26" s="32"/>
      <c r="AU26" s="44"/>
      <c r="AV26" s="45"/>
      <c r="AW26" s="37"/>
      <c r="AX26" s="37"/>
      <c r="AY26" s="37"/>
      <c r="AZ26" s="37"/>
      <c r="BA26" s="37"/>
      <c r="BB26" s="37"/>
      <c r="BC26" s="37"/>
    </row>
    <row r="27" ht="15.75" customHeight="1">
      <c r="A27" s="37"/>
      <c r="B27" s="31"/>
      <c r="C27" s="31"/>
      <c r="D27" s="31"/>
      <c r="E27" s="31"/>
      <c r="F27" s="31"/>
      <c r="G27" s="31"/>
      <c r="H27" s="31"/>
      <c r="I27" s="31"/>
      <c r="J27" s="31"/>
      <c r="K27" s="31"/>
      <c r="L27" s="31"/>
      <c r="M27" s="32" t="s">
        <v>820</v>
      </c>
      <c r="N27" s="32" t="s">
        <v>820</v>
      </c>
      <c r="O27" s="32" t="s">
        <v>820</v>
      </c>
      <c r="P27" s="32" t="s">
        <v>820</v>
      </c>
      <c r="Q27" s="32" t="s">
        <v>820</v>
      </c>
      <c r="R27" s="32" t="s">
        <v>820</v>
      </c>
      <c r="S27" s="32" t="s">
        <v>820</v>
      </c>
      <c r="T27" s="32" t="s">
        <v>821</v>
      </c>
      <c r="U27" s="31"/>
      <c r="V27" s="31"/>
      <c r="W27" s="31"/>
      <c r="X27" s="33" t="s">
        <v>822</v>
      </c>
      <c r="Y27" s="31"/>
      <c r="Z27" s="31"/>
      <c r="AA27" s="31"/>
      <c r="AB27" s="33" t="s">
        <v>823</v>
      </c>
      <c r="AC27" s="31"/>
      <c r="AD27" s="32"/>
      <c r="AE27" s="32"/>
      <c r="AF27" s="38" t="s">
        <v>824</v>
      </c>
      <c r="AG27" s="32"/>
      <c r="AH27" s="32"/>
      <c r="AI27" s="32"/>
      <c r="AJ27" s="38" t="s">
        <v>824</v>
      </c>
      <c r="AK27" s="32"/>
      <c r="AL27" s="32"/>
      <c r="AM27" s="32"/>
      <c r="AN27" s="32"/>
      <c r="AO27" s="32"/>
      <c r="AP27" s="32"/>
      <c r="AQ27" s="32"/>
      <c r="AR27" s="32"/>
      <c r="AS27" s="32"/>
      <c r="AT27" s="32"/>
      <c r="AU27" s="44"/>
      <c r="AV27" s="45"/>
      <c r="AW27" s="37"/>
      <c r="AX27" s="37"/>
      <c r="AY27" s="37"/>
      <c r="AZ27" s="37"/>
      <c r="BA27" s="37"/>
      <c r="BB27" s="37"/>
      <c r="BC27" s="37"/>
    </row>
    <row r="28" ht="15.75" customHeight="1">
      <c r="A28" s="37"/>
      <c r="B28" s="37"/>
      <c r="C28" s="37"/>
      <c r="D28" s="37"/>
      <c r="E28" s="37"/>
      <c r="F28" s="37"/>
      <c r="G28" s="37"/>
      <c r="H28" s="37"/>
      <c r="I28" s="37"/>
      <c r="J28" s="37"/>
      <c r="K28" s="37"/>
      <c r="L28" s="37"/>
      <c r="M28" s="37"/>
      <c r="N28" s="37"/>
      <c r="O28" s="37"/>
      <c r="P28" s="37"/>
      <c r="Q28" s="37"/>
      <c r="R28" s="37"/>
      <c r="S28" s="37"/>
      <c r="T28" s="37"/>
      <c r="U28" s="37"/>
      <c r="V28" s="37"/>
      <c r="W28" s="32" t="s">
        <v>828</v>
      </c>
      <c r="X28" s="32" t="s">
        <v>828</v>
      </c>
      <c r="Y28" s="33" t="s">
        <v>828</v>
      </c>
      <c r="Z28" s="31"/>
      <c r="AA28" s="31"/>
      <c r="AB28" s="31"/>
      <c r="AC28" s="31"/>
      <c r="AD28" s="32"/>
      <c r="AE28" s="32"/>
      <c r="AF28" s="38" t="s">
        <v>829</v>
      </c>
      <c r="AG28" s="32"/>
      <c r="AH28" s="32"/>
      <c r="AI28" s="32"/>
      <c r="AJ28" s="32"/>
      <c r="AK28" s="32"/>
      <c r="AL28" s="32"/>
      <c r="AM28" s="32"/>
      <c r="AN28" s="32"/>
      <c r="AO28" s="32"/>
      <c r="AP28" s="32"/>
      <c r="AQ28" s="32"/>
      <c r="AR28" s="32"/>
      <c r="AS28" s="32"/>
      <c r="AT28" s="32"/>
      <c r="AU28" s="44"/>
      <c r="AV28" s="45"/>
      <c r="AW28" s="37"/>
      <c r="AX28" s="37"/>
      <c r="AY28" s="37"/>
      <c r="AZ28" s="37"/>
      <c r="BA28" s="37"/>
      <c r="BB28" s="37"/>
      <c r="BC28" s="37"/>
    </row>
    <row r="29" ht="15.75" customHeight="1">
      <c r="A29" s="58" t="s">
        <v>830</v>
      </c>
      <c r="B29" s="61" t="s">
        <v>831</v>
      </c>
      <c r="C29" s="61" t="s">
        <v>832</v>
      </c>
      <c r="D29" s="61" t="s">
        <v>833</v>
      </c>
      <c r="E29" s="61" t="s">
        <v>834</v>
      </c>
      <c r="F29" s="61" t="s">
        <v>834</v>
      </c>
      <c r="G29" s="61" t="s">
        <v>835</v>
      </c>
      <c r="H29" s="61" t="s">
        <v>836</v>
      </c>
      <c r="I29" s="61" t="s">
        <v>837</v>
      </c>
      <c r="J29" s="61" t="s">
        <v>837</v>
      </c>
      <c r="K29" s="61" t="s">
        <v>837</v>
      </c>
      <c r="L29" s="61" t="s">
        <v>837</v>
      </c>
      <c r="M29" s="61" t="s">
        <v>837</v>
      </c>
      <c r="N29" s="61" t="s">
        <v>837</v>
      </c>
      <c r="O29" s="97" t="s">
        <v>837</v>
      </c>
      <c r="P29" s="61" t="s">
        <v>839</v>
      </c>
      <c r="Q29" s="61" t="s">
        <v>839</v>
      </c>
      <c r="R29" s="60" t="s">
        <v>840</v>
      </c>
      <c r="S29" s="61" t="s">
        <v>841</v>
      </c>
      <c r="T29" s="59"/>
      <c r="U29" s="61" t="s">
        <v>842</v>
      </c>
      <c r="V29" s="61" t="s">
        <v>843</v>
      </c>
      <c r="W29" s="98" t="s">
        <v>844</v>
      </c>
      <c r="X29" s="68" t="s">
        <v>847</v>
      </c>
      <c r="Y29" s="45"/>
      <c r="Z29" s="45"/>
      <c r="AA29" s="68" t="s">
        <v>848</v>
      </c>
      <c r="AB29" s="45"/>
      <c r="AC29" s="68" t="s">
        <v>849</v>
      </c>
      <c r="AD29" s="68" t="s">
        <v>850</v>
      </c>
      <c r="AE29" s="68" t="s">
        <v>850</v>
      </c>
      <c r="AF29" s="64" t="s">
        <v>851</v>
      </c>
      <c r="AG29" s="63"/>
      <c r="AH29" s="64" t="s">
        <v>852</v>
      </c>
      <c r="AI29" s="64" t="s">
        <v>853</v>
      </c>
      <c r="AJ29" s="64" t="s">
        <v>853</v>
      </c>
      <c r="AK29" s="63"/>
      <c r="AL29" s="63"/>
      <c r="AM29" s="64" t="s">
        <v>854</v>
      </c>
      <c r="AN29" s="64" t="s">
        <v>854</v>
      </c>
      <c r="AO29" s="64" t="s">
        <v>854</v>
      </c>
      <c r="AP29" s="99" t="s">
        <v>855</v>
      </c>
      <c r="AQ29" s="63"/>
      <c r="AR29" s="63"/>
      <c r="AS29" s="65" t="s">
        <v>854</v>
      </c>
      <c r="AT29" s="63"/>
      <c r="AU29" s="44"/>
      <c r="AV29" s="45"/>
      <c r="AW29" s="37"/>
      <c r="AX29" s="37"/>
      <c r="AY29" s="37"/>
      <c r="AZ29" s="37"/>
      <c r="BA29" s="37"/>
      <c r="BB29" s="37"/>
      <c r="BC29" s="37"/>
    </row>
    <row r="30" ht="15.75" customHeight="1">
      <c r="A30" s="46"/>
      <c r="B30" s="61" t="s">
        <v>856</v>
      </c>
      <c r="C30" s="61" t="s">
        <v>857</v>
      </c>
      <c r="D30" s="61" t="s">
        <v>857</v>
      </c>
      <c r="E30" s="61" t="s">
        <v>858</v>
      </c>
      <c r="F30" s="61" t="s">
        <v>859</v>
      </c>
      <c r="G30" s="59"/>
      <c r="H30" s="59"/>
      <c r="I30" s="59"/>
      <c r="J30" s="61" t="s">
        <v>861</v>
      </c>
      <c r="K30" s="61" t="s">
        <v>865</v>
      </c>
      <c r="L30" s="61" t="s">
        <v>867</v>
      </c>
      <c r="M30" s="61" t="s">
        <v>868</v>
      </c>
      <c r="N30" s="59"/>
      <c r="O30" s="98" t="s">
        <v>869</v>
      </c>
      <c r="P30" s="59"/>
      <c r="Q30" s="61" t="s">
        <v>841</v>
      </c>
      <c r="R30" s="60" t="s">
        <v>870</v>
      </c>
      <c r="S30" s="59"/>
      <c r="T30" s="59"/>
      <c r="U30" s="61" t="s">
        <v>872</v>
      </c>
      <c r="V30" s="59"/>
      <c r="W30" s="59"/>
      <c r="X30" s="60" t="s">
        <v>873</v>
      </c>
      <c r="Y30" s="59"/>
      <c r="Z30" s="59"/>
      <c r="AA30" s="61" t="s">
        <v>90</v>
      </c>
      <c r="AB30" s="60" t="s">
        <v>90</v>
      </c>
      <c r="AC30" s="60" t="s">
        <v>90</v>
      </c>
      <c r="AD30" s="60" t="s">
        <v>875</v>
      </c>
      <c r="AE30" s="60" t="s">
        <v>90</v>
      </c>
      <c r="AF30" s="71" t="s">
        <v>90</v>
      </c>
      <c r="AG30" s="61"/>
      <c r="AH30" s="71" t="s">
        <v>876</v>
      </c>
      <c r="AI30" s="71" t="s">
        <v>878</v>
      </c>
      <c r="AJ30" s="71" t="s">
        <v>878</v>
      </c>
      <c r="AK30" s="61"/>
      <c r="AL30" s="61"/>
      <c r="AM30" s="71" t="s">
        <v>882</v>
      </c>
      <c r="AN30" s="61"/>
      <c r="AO30" s="71" t="s">
        <v>885</v>
      </c>
      <c r="AP30" s="99" t="s">
        <v>886</v>
      </c>
      <c r="AQ30" s="61"/>
      <c r="AR30" s="61"/>
      <c r="AS30" s="61"/>
      <c r="AT30" s="61"/>
      <c r="AU30" s="44"/>
      <c r="AV30" s="45"/>
      <c r="AW30" s="37"/>
      <c r="AX30" s="37"/>
      <c r="AY30" s="37"/>
      <c r="AZ30" s="37"/>
      <c r="BA30" s="37"/>
      <c r="BB30" s="37"/>
      <c r="BC30" s="37"/>
    </row>
    <row r="31" ht="15.75" customHeight="1">
      <c r="A31" s="46"/>
      <c r="B31" s="61" t="s">
        <v>891</v>
      </c>
      <c r="C31" s="61" t="s">
        <v>892</v>
      </c>
      <c r="D31" s="61" t="s">
        <v>892</v>
      </c>
      <c r="E31" s="61" t="s">
        <v>893</v>
      </c>
      <c r="F31" s="61" t="s">
        <v>896</v>
      </c>
      <c r="G31" s="59"/>
      <c r="H31" s="59"/>
      <c r="I31" s="59"/>
      <c r="J31" s="59"/>
      <c r="K31" s="59"/>
      <c r="L31" s="98" t="s">
        <v>900</v>
      </c>
      <c r="M31" s="61" t="s">
        <v>901</v>
      </c>
      <c r="N31" s="59"/>
      <c r="O31" s="98" t="s">
        <v>903</v>
      </c>
      <c r="P31" s="59"/>
      <c r="Q31" s="61" t="s">
        <v>904</v>
      </c>
      <c r="R31" s="59"/>
      <c r="S31" s="59"/>
      <c r="T31" s="59"/>
      <c r="U31" s="61" t="s">
        <v>905</v>
      </c>
      <c r="V31" s="59"/>
      <c r="W31" s="59"/>
      <c r="X31" s="60" t="s">
        <v>906</v>
      </c>
      <c r="Y31" s="59"/>
      <c r="Z31" s="59"/>
      <c r="AA31" s="60" t="s">
        <v>907</v>
      </c>
      <c r="AB31" s="59"/>
      <c r="AC31" s="59"/>
      <c r="AD31" s="60" t="s">
        <v>90</v>
      </c>
      <c r="AE31" s="60" t="s">
        <v>910</v>
      </c>
      <c r="AF31" s="60" t="s">
        <v>911</v>
      </c>
      <c r="AG31" s="61"/>
      <c r="AH31" s="61"/>
      <c r="AI31" s="61"/>
      <c r="AJ31" s="71" t="s">
        <v>721</v>
      </c>
      <c r="AK31" s="61"/>
      <c r="AL31" s="61"/>
      <c r="AM31" s="61"/>
      <c r="AN31" s="71" t="s">
        <v>916</v>
      </c>
      <c r="AO31" s="71" t="s">
        <v>855</v>
      </c>
      <c r="AP31" s="99" t="s">
        <v>885</v>
      </c>
      <c r="AQ31" s="61"/>
      <c r="AR31" s="61"/>
      <c r="AS31" s="61"/>
      <c r="AT31" s="61"/>
      <c r="AU31" s="44"/>
      <c r="AV31" s="45"/>
      <c r="AW31" s="37"/>
      <c r="AX31" s="37"/>
      <c r="AY31" s="37"/>
      <c r="AZ31" s="37"/>
      <c r="BA31" s="37"/>
      <c r="BB31" s="37"/>
      <c r="BC31" s="37"/>
    </row>
    <row r="32" ht="15.75" customHeight="1">
      <c r="A32" s="46"/>
      <c r="B32" s="61" t="s">
        <v>920</v>
      </c>
      <c r="C32" s="61" t="s">
        <v>921</v>
      </c>
      <c r="D32" s="61" t="s">
        <v>168</v>
      </c>
      <c r="E32" s="61" t="s">
        <v>922</v>
      </c>
      <c r="F32" s="61" t="s">
        <v>923</v>
      </c>
      <c r="G32" s="59"/>
      <c r="H32" s="59"/>
      <c r="I32" s="59"/>
      <c r="J32" s="59"/>
      <c r="K32" s="59"/>
      <c r="L32" s="61" t="s">
        <v>924</v>
      </c>
      <c r="M32" s="98" t="s">
        <v>924</v>
      </c>
      <c r="N32" s="59"/>
      <c r="O32" s="98" t="s">
        <v>925</v>
      </c>
      <c r="P32" s="59"/>
      <c r="Q32" s="59"/>
      <c r="R32" s="61" t="s">
        <v>926</v>
      </c>
      <c r="S32" s="59"/>
      <c r="T32" s="59"/>
      <c r="U32" s="59"/>
      <c r="V32" s="59"/>
      <c r="W32" s="59"/>
      <c r="X32" s="60" t="s">
        <v>927</v>
      </c>
      <c r="Y32" s="59"/>
      <c r="Z32" s="59"/>
      <c r="AA32" s="59"/>
      <c r="AB32" s="60" t="s">
        <v>928</v>
      </c>
      <c r="AC32" s="59"/>
      <c r="AD32" s="61"/>
      <c r="AE32" s="61"/>
      <c r="AF32" s="60" t="s">
        <v>929</v>
      </c>
      <c r="AG32" s="61"/>
      <c r="AH32" s="61"/>
      <c r="AI32" s="61"/>
      <c r="AJ32" s="64" t="s">
        <v>930</v>
      </c>
      <c r="AK32" s="64" t="s">
        <v>930</v>
      </c>
      <c r="AL32" s="61"/>
      <c r="AM32" s="71" t="s">
        <v>931</v>
      </c>
      <c r="AN32" s="71" t="s">
        <v>932</v>
      </c>
      <c r="AO32" s="71" t="s">
        <v>886</v>
      </c>
      <c r="AP32" s="99" t="s">
        <v>933</v>
      </c>
      <c r="AQ32" s="61"/>
      <c r="AR32" s="61"/>
      <c r="AS32" s="99" t="s">
        <v>932</v>
      </c>
      <c r="AT32" s="61"/>
      <c r="AU32" s="44"/>
      <c r="AV32" s="45"/>
      <c r="AW32" s="37"/>
      <c r="AX32" s="37"/>
      <c r="AY32" s="37"/>
      <c r="AZ32" s="37"/>
      <c r="BA32" s="37"/>
      <c r="BB32" s="37"/>
      <c r="BC32" s="37"/>
    </row>
    <row r="33" ht="15.75" customHeight="1">
      <c r="A33" s="46"/>
      <c r="B33" s="61" t="s">
        <v>934</v>
      </c>
      <c r="C33" s="61" t="s">
        <v>935</v>
      </c>
      <c r="D33" s="61" t="s">
        <v>936</v>
      </c>
      <c r="E33" s="61" t="s">
        <v>168</v>
      </c>
      <c r="F33" s="61" t="s">
        <v>937</v>
      </c>
      <c r="G33" s="59"/>
      <c r="H33" s="59"/>
      <c r="I33" s="59"/>
      <c r="J33" s="59"/>
      <c r="K33" s="59"/>
      <c r="L33" s="59"/>
      <c r="M33" s="59"/>
      <c r="N33" s="59"/>
      <c r="O33" s="98" t="s">
        <v>938</v>
      </c>
      <c r="P33" s="59"/>
      <c r="Q33" s="59"/>
      <c r="R33" s="61" t="s">
        <v>939</v>
      </c>
      <c r="S33" s="59"/>
      <c r="T33" s="59"/>
      <c r="U33" s="61" t="s">
        <v>940</v>
      </c>
      <c r="V33" s="61" t="s">
        <v>940</v>
      </c>
      <c r="W33" s="59"/>
      <c r="X33" s="61" t="s">
        <v>941</v>
      </c>
      <c r="Y33" s="61" t="s">
        <v>941</v>
      </c>
      <c r="Z33" s="59"/>
      <c r="AA33" s="59"/>
      <c r="AB33" s="59"/>
      <c r="AC33" s="59"/>
      <c r="AD33" s="61"/>
      <c r="AE33" s="61"/>
      <c r="AF33" s="64" t="s">
        <v>850</v>
      </c>
      <c r="AG33" s="64" t="s">
        <v>850</v>
      </c>
      <c r="AH33" s="64" t="s">
        <v>850</v>
      </c>
      <c r="AI33" s="64" t="s">
        <v>850</v>
      </c>
      <c r="AJ33" s="64" t="s">
        <v>850</v>
      </c>
      <c r="AK33" s="63"/>
      <c r="AL33" s="64" t="s">
        <v>942</v>
      </c>
      <c r="AM33" s="64" t="s">
        <v>943</v>
      </c>
      <c r="AN33" s="64" t="s">
        <v>944</v>
      </c>
      <c r="AO33" s="64" t="s">
        <v>944</v>
      </c>
      <c r="AP33" s="99" t="s">
        <v>945</v>
      </c>
      <c r="AQ33" s="63"/>
      <c r="AR33" s="63"/>
      <c r="AS33" s="63"/>
      <c r="AT33" s="63"/>
      <c r="AU33" s="44"/>
      <c r="AV33" s="45"/>
      <c r="AW33" s="37"/>
      <c r="AX33" s="37"/>
      <c r="AY33" s="37"/>
      <c r="AZ33" s="37"/>
      <c r="BA33" s="37"/>
      <c r="BB33" s="37"/>
      <c r="BC33" s="37"/>
    </row>
    <row r="34" ht="15.75" customHeight="1">
      <c r="A34" s="46"/>
      <c r="B34" s="61" t="s">
        <v>946</v>
      </c>
      <c r="C34" s="61" t="s">
        <v>946</v>
      </c>
      <c r="D34" s="61" t="s">
        <v>947</v>
      </c>
      <c r="E34" s="61" t="s">
        <v>948</v>
      </c>
      <c r="F34" s="61" t="s">
        <v>949</v>
      </c>
      <c r="G34" s="61" t="s">
        <v>949</v>
      </c>
      <c r="H34" s="59"/>
      <c r="I34" s="59"/>
      <c r="J34" s="59"/>
      <c r="K34" s="59"/>
      <c r="L34" s="59"/>
      <c r="M34" s="59"/>
      <c r="N34" s="59"/>
      <c r="O34" s="98" t="s">
        <v>950</v>
      </c>
      <c r="P34" s="59"/>
      <c r="Q34" s="59"/>
      <c r="R34" s="59"/>
      <c r="S34" s="59"/>
      <c r="T34" s="59"/>
      <c r="U34" s="61" t="s">
        <v>212</v>
      </c>
      <c r="V34" s="59"/>
      <c r="W34" s="59"/>
      <c r="X34" s="59"/>
      <c r="Y34" s="59"/>
      <c r="Z34" s="59"/>
      <c r="AA34" s="59"/>
      <c r="AB34" s="59"/>
      <c r="AC34" s="59"/>
      <c r="AD34" s="61"/>
      <c r="AE34" s="61"/>
      <c r="AF34" s="71" t="s">
        <v>951</v>
      </c>
      <c r="AG34" s="61"/>
      <c r="AH34" s="61"/>
      <c r="AI34" s="61"/>
      <c r="AJ34" s="61"/>
      <c r="AK34" s="61"/>
      <c r="AL34" s="61"/>
      <c r="AM34" s="71" t="s">
        <v>952</v>
      </c>
      <c r="AN34" s="71" t="s">
        <v>953</v>
      </c>
      <c r="AO34" s="71"/>
      <c r="AP34" s="61"/>
      <c r="AQ34" s="61"/>
      <c r="AR34" s="61"/>
      <c r="AS34" s="61"/>
      <c r="AT34" s="61"/>
      <c r="AU34" s="44"/>
      <c r="AV34" s="45"/>
      <c r="AW34" s="37"/>
      <c r="AX34" s="37"/>
      <c r="AY34" s="37"/>
      <c r="AZ34" s="37"/>
      <c r="BA34" s="37"/>
      <c r="BB34" s="37"/>
      <c r="BC34" s="37"/>
    </row>
    <row r="35" ht="15.75" customHeight="1">
      <c r="A35" s="46"/>
      <c r="B35" s="59"/>
      <c r="C35" s="61" t="s">
        <v>954</v>
      </c>
      <c r="D35" s="61" t="s">
        <v>954</v>
      </c>
      <c r="E35" s="61" t="s">
        <v>168</v>
      </c>
      <c r="F35" s="61" t="s">
        <v>955</v>
      </c>
      <c r="G35" s="59"/>
      <c r="H35" s="59"/>
      <c r="I35" s="59"/>
      <c r="J35" s="59"/>
      <c r="K35" s="59"/>
      <c r="L35" s="59"/>
      <c r="M35" s="59"/>
      <c r="N35" s="59"/>
      <c r="O35" s="98" t="s">
        <v>956</v>
      </c>
      <c r="P35" s="59"/>
      <c r="Q35" s="59"/>
      <c r="R35" s="59"/>
      <c r="S35" s="59"/>
      <c r="T35" s="59"/>
      <c r="U35" s="59"/>
      <c r="V35" s="60" t="s">
        <v>957</v>
      </c>
      <c r="W35" s="60" t="s">
        <v>958</v>
      </c>
      <c r="X35" s="46"/>
      <c r="Y35" s="46"/>
      <c r="Z35" s="46"/>
      <c r="AA35" s="61" t="s">
        <v>959</v>
      </c>
      <c r="AB35" s="70" t="s">
        <v>959</v>
      </c>
      <c r="AC35" s="60" t="s">
        <v>959</v>
      </c>
      <c r="AD35" s="62"/>
      <c r="AE35" s="62"/>
      <c r="AF35" s="71" t="s">
        <v>960</v>
      </c>
      <c r="AG35" s="71" t="s">
        <v>960</v>
      </c>
      <c r="AH35" s="62"/>
      <c r="AI35" s="62"/>
      <c r="AJ35" s="62"/>
      <c r="AK35" s="61"/>
      <c r="AL35" s="71" t="s">
        <v>933</v>
      </c>
      <c r="AM35" s="71" t="s">
        <v>933</v>
      </c>
      <c r="AN35" s="71" t="s">
        <v>933</v>
      </c>
      <c r="AO35" s="71" t="s">
        <v>933</v>
      </c>
      <c r="AP35" s="62"/>
      <c r="AQ35" s="62"/>
      <c r="AR35" s="62"/>
      <c r="AS35" s="62"/>
      <c r="AT35" s="62"/>
      <c r="AU35" s="44"/>
      <c r="AV35" s="45"/>
      <c r="AW35" s="46"/>
      <c r="AX35" s="46"/>
      <c r="AY35" s="46"/>
      <c r="AZ35" s="46"/>
      <c r="BA35" s="46"/>
      <c r="BB35" s="46"/>
      <c r="BC35" s="46"/>
    </row>
    <row r="36" ht="15.75" customHeight="1">
      <c r="A36" s="46"/>
      <c r="B36" s="59"/>
      <c r="C36" s="61" t="s">
        <v>961</v>
      </c>
      <c r="D36" s="61" t="s">
        <v>168</v>
      </c>
      <c r="E36" s="61" t="s">
        <v>962</v>
      </c>
      <c r="F36" s="61" t="s">
        <v>963</v>
      </c>
      <c r="G36" s="59"/>
      <c r="H36" s="59"/>
      <c r="I36" s="59"/>
      <c r="J36" s="59"/>
      <c r="K36" s="59"/>
      <c r="L36" s="59"/>
      <c r="M36" s="59"/>
      <c r="N36" s="59"/>
      <c r="O36" s="59"/>
      <c r="P36" s="59"/>
      <c r="Q36" s="59"/>
      <c r="R36" s="59"/>
      <c r="S36" s="59"/>
      <c r="T36" s="59"/>
      <c r="U36" s="61" t="s">
        <v>964</v>
      </c>
      <c r="V36" s="98" t="s">
        <v>965</v>
      </c>
      <c r="W36" s="98" t="s">
        <v>965</v>
      </c>
      <c r="X36" s="61" t="s">
        <v>966</v>
      </c>
      <c r="Y36" s="61" t="s">
        <v>966</v>
      </c>
      <c r="Z36" s="59"/>
      <c r="AA36" s="60" t="s">
        <v>966</v>
      </c>
      <c r="AB36" s="59"/>
      <c r="AC36" s="59"/>
      <c r="AD36" s="61"/>
      <c r="AE36" s="61"/>
      <c r="AF36" s="62"/>
      <c r="AG36" s="110" t="s">
        <v>967</v>
      </c>
      <c r="AH36" s="61"/>
      <c r="AI36" s="61"/>
      <c r="AJ36" s="61"/>
      <c r="AK36" s="61"/>
      <c r="AL36" s="71" t="s">
        <v>945</v>
      </c>
      <c r="AM36" s="71" t="s">
        <v>945</v>
      </c>
      <c r="AN36" s="71" t="s">
        <v>945</v>
      </c>
      <c r="AO36" s="71" t="s">
        <v>945</v>
      </c>
      <c r="AP36" s="61"/>
      <c r="AQ36" s="61"/>
      <c r="AR36" s="61"/>
      <c r="AS36" s="61"/>
      <c r="AT36" s="61"/>
      <c r="AU36" s="44"/>
      <c r="AV36" s="45"/>
      <c r="AW36" s="46"/>
      <c r="AX36" s="46"/>
      <c r="AY36" s="46"/>
      <c r="AZ36" s="46"/>
      <c r="BA36" s="46"/>
      <c r="BB36" s="46"/>
      <c r="BC36" s="46"/>
    </row>
    <row r="37" ht="15.75" customHeight="1">
      <c r="A37" s="29" t="s">
        <v>968</v>
      </c>
      <c r="B37" s="31"/>
      <c r="C37" s="31"/>
      <c r="D37" s="31"/>
      <c r="E37" s="31"/>
      <c r="F37" s="31"/>
      <c r="G37" s="32" t="s">
        <v>969</v>
      </c>
      <c r="H37" s="32" t="s">
        <v>970</v>
      </c>
      <c r="I37" s="32" t="s">
        <v>971</v>
      </c>
      <c r="J37" s="32" t="s">
        <v>971</v>
      </c>
      <c r="K37" s="32" t="s">
        <v>972</v>
      </c>
      <c r="L37" s="31"/>
      <c r="M37" s="31"/>
      <c r="N37" s="49" t="s">
        <v>973</v>
      </c>
      <c r="O37" s="49" t="s">
        <v>973</v>
      </c>
      <c r="P37" s="49" t="s">
        <v>974</v>
      </c>
      <c r="Q37" s="31"/>
      <c r="R37" s="33" t="s">
        <v>975</v>
      </c>
      <c r="S37" s="32" t="s">
        <v>976</v>
      </c>
      <c r="T37" s="32" t="s">
        <v>977</v>
      </c>
      <c r="U37" s="32" t="s">
        <v>977</v>
      </c>
      <c r="V37" s="31"/>
      <c r="W37" s="31"/>
      <c r="X37" s="34" t="s">
        <v>978</v>
      </c>
      <c r="Y37" s="31"/>
      <c r="Z37" s="31"/>
      <c r="AA37" s="34" t="s">
        <v>979</v>
      </c>
      <c r="AB37" s="33" t="s">
        <v>980</v>
      </c>
      <c r="AC37" s="33" t="s">
        <v>980</v>
      </c>
      <c r="AD37" s="33" t="s">
        <v>980</v>
      </c>
      <c r="AE37" s="33" t="s">
        <v>981</v>
      </c>
      <c r="AF37" s="38" t="s">
        <v>981</v>
      </c>
      <c r="AG37" s="38" t="s">
        <v>981</v>
      </c>
      <c r="AH37" s="38" t="s">
        <v>981</v>
      </c>
      <c r="AI37" s="38" t="s">
        <v>981</v>
      </c>
      <c r="AJ37" s="38" t="s">
        <v>981</v>
      </c>
      <c r="AK37" s="32"/>
      <c r="AL37" s="32"/>
      <c r="AM37" s="32"/>
      <c r="AN37" s="38" t="s">
        <v>982</v>
      </c>
      <c r="AO37" s="38" t="s">
        <v>983</v>
      </c>
      <c r="AP37" s="38" t="s">
        <v>984</v>
      </c>
      <c r="AQ37" s="32"/>
      <c r="AR37" s="32"/>
      <c r="AS37" s="32"/>
      <c r="AT37" s="32"/>
      <c r="AU37" s="51"/>
      <c r="AV37" s="37"/>
      <c r="AW37" s="37"/>
      <c r="AX37" s="37"/>
      <c r="AY37" s="37"/>
      <c r="AZ37" s="37"/>
      <c r="BA37" s="37"/>
      <c r="BB37" s="37"/>
      <c r="BC37" s="37"/>
    </row>
    <row r="38" ht="15.75" customHeight="1">
      <c r="A38" s="37"/>
      <c r="B38" s="32" t="s">
        <v>985</v>
      </c>
      <c r="C38" s="31"/>
      <c r="D38" s="31"/>
      <c r="E38" s="31"/>
      <c r="F38" s="31"/>
      <c r="G38" s="32" t="s">
        <v>986</v>
      </c>
      <c r="H38" s="32" t="s">
        <v>986</v>
      </c>
      <c r="I38" s="32" t="s">
        <v>987</v>
      </c>
      <c r="J38" s="32" t="s">
        <v>988</v>
      </c>
      <c r="K38" s="32" t="s">
        <v>989</v>
      </c>
      <c r="L38" s="32" t="s">
        <v>990</v>
      </c>
      <c r="M38" s="49" t="s">
        <v>990</v>
      </c>
      <c r="N38" s="31"/>
      <c r="O38" s="31"/>
      <c r="P38" s="31"/>
      <c r="Q38" s="31"/>
      <c r="R38" s="31"/>
      <c r="S38" s="31"/>
      <c r="T38" s="33" t="s">
        <v>991</v>
      </c>
      <c r="U38" s="31"/>
      <c r="V38" s="31"/>
      <c r="W38" s="31"/>
      <c r="X38" s="31"/>
      <c r="Y38" s="33" t="s">
        <v>992</v>
      </c>
      <c r="Z38" s="31"/>
      <c r="AA38" s="31"/>
      <c r="AB38" s="33" t="s">
        <v>993</v>
      </c>
      <c r="AC38" s="33" t="s">
        <v>993</v>
      </c>
      <c r="AD38" s="33" t="s">
        <v>993</v>
      </c>
      <c r="AE38" s="33" t="s">
        <v>994</v>
      </c>
      <c r="AF38" s="38" t="s">
        <v>995</v>
      </c>
      <c r="AG38" s="32"/>
      <c r="AH38" s="38" t="s">
        <v>996</v>
      </c>
      <c r="AI38" s="38" t="s">
        <v>996</v>
      </c>
      <c r="AJ38" s="38" t="s">
        <v>996</v>
      </c>
      <c r="AK38" s="38" t="s">
        <v>996</v>
      </c>
      <c r="AL38" s="38" t="s">
        <v>996</v>
      </c>
      <c r="AM38" s="32"/>
      <c r="AN38" s="32"/>
      <c r="AO38" s="43" t="s">
        <v>997</v>
      </c>
      <c r="AP38" s="32"/>
      <c r="AQ38" s="32"/>
      <c r="AR38" s="43" t="s">
        <v>998</v>
      </c>
      <c r="AS38" s="32"/>
      <c r="AT38" s="32"/>
      <c r="AU38" s="51"/>
      <c r="AV38" s="37"/>
      <c r="AW38" s="37"/>
      <c r="AX38" s="37"/>
      <c r="AY38" s="37"/>
      <c r="AZ38" s="37"/>
      <c r="BA38" s="37"/>
      <c r="BB38" s="37"/>
      <c r="BC38" s="37"/>
    </row>
    <row r="39" ht="15.75" customHeight="1">
      <c r="A39" s="37"/>
      <c r="B39" s="31"/>
      <c r="C39" s="31"/>
      <c r="D39" s="31"/>
      <c r="E39" s="31"/>
      <c r="F39" s="31"/>
      <c r="G39" s="31"/>
      <c r="H39" s="32" t="s">
        <v>999</v>
      </c>
      <c r="I39" s="32" t="s">
        <v>1000</v>
      </c>
      <c r="J39" s="32" t="s">
        <v>1000</v>
      </c>
      <c r="K39" s="32" t="s">
        <v>1001</v>
      </c>
      <c r="L39" s="32" t="s">
        <v>1002</v>
      </c>
      <c r="M39" s="32" t="s">
        <v>1002</v>
      </c>
      <c r="N39" s="31"/>
      <c r="O39" s="31"/>
      <c r="P39" s="31"/>
      <c r="Q39" s="33" t="s">
        <v>1003</v>
      </c>
      <c r="R39" s="32" t="s">
        <v>1004</v>
      </c>
      <c r="S39" s="32" t="s">
        <v>1004</v>
      </c>
      <c r="T39" s="33" t="s">
        <v>1005</v>
      </c>
      <c r="U39" s="31"/>
      <c r="V39" s="31"/>
      <c r="W39" s="31"/>
      <c r="X39" s="31"/>
      <c r="Y39" s="33" t="s">
        <v>1006</v>
      </c>
      <c r="Z39" s="31"/>
      <c r="AA39" s="31"/>
      <c r="AB39" s="31"/>
      <c r="AC39" s="31"/>
      <c r="AD39" s="32"/>
      <c r="AE39" s="32"/>
      <c r="AF39" s="33" t="s">
        <v>1007</v>
      </c>
      <c r="AG39" s="38" t="s">
        <v>1008</v>
      </c>
      <c r="AH39" s="38" t="s">
        <v>1008</v>
      </c>
      <c r="AI39" s="38" t="s">
        <v>1008</v>
      </c>
      <c r="AJ39" s="38" t="s">
        <v>1008</v>
      </c>
      <c r="AK39" s="38" t="s">
        <v>1009</v>
      </c>
      <c r="AL39" s="38"/>
      <c r="AM39" s="32"/>
      <c r="AN39" s="32"/>
      <c r="AO39" s="32"/>
      <c r="AP39" s="32"/>
      <c r="AQ39" s="32"/>
      <c r="AR39" s="32"/>
      <c r="AS39" s="32"/>
      <c r="AT39" s="32"/>
      <c r="AU39" s="51"/>
      <c r="AV39" s="37"/>
      <c r="AW39" s="37"/>
      <c r="AX39" s="37"/>
      <c r="AY39" s="37"/>
      <c r="AZ39" s="37"/>
      <c r="BA39" s="37"/>
      <c r="BB39" s="37"/>
      <c r="BC39" s="37"/>
    </row>
    <row r="40" ht="15.75" customHeight="1">
      <c r="A40" s="37"/>
      <c r="B40" s="31"/>
      <c r="C40" s="31"/>
      <c r="D40" s="31"/>
      <c r="E40" s="37"/>
      <c r="F40" s="37"/>
      <c r="G40" s="37"/>
      <c r="H40" s="32" t="s">
        <v>1011</v>
      </c>
      <c r="I40" s="32" t="s">
        <v>1012</v>
      </c>
      <c r="J40" s="31"/>
      <c r="K40" s="32" t="s">
        <v>1013</v>
      </c>
      <c r="L40" s="37"/>
      <c r="M40" s="37"/>
      <c r="N40" s="32" t="s">
        <v>1014</v>
      </c>
      <c r="O40" s="32" t="s">
        <v>1016</v>
      </c>
      <c r="P40" s="32" t="s">
        <v>1016</v>
      </c>
      <c r="Q40" s="32" t="s">
        <v>1016</v>
      </c>
      <c r="R40" s="32" t="s">
        <v>1016</v>
      </c>
      <c r="S40" s="32" t="s">
        <v>1016</v>
      </c>
      <c r="T40" s="32" t="s">
        <v>1018</v>
      </c>
      <c r="U40" s="31"/>
      <c r="V40" s="31"/>
      <c r="W40" s="31"/>
      <c r="X40" s="31"/>
      <c r="Y40" s="33" t="s">
        <v>1019</v>
      </c>
      <c r="Z40" s="31"/>
      <c r="AA40" s="31"/>
      <c r="AB40" s="31"/>
      <c r="AC40" s="31"/>
      <c r="AD40" s="32"/>
      <c r="AE40" s="32"/>
      <c r="AF40" s="33" t="s">
        <v>1024</v>
      </c>
      <c r="AG40" s="118"/>
      <c r="AH40" s="118"/>
      <c r="AI40" s="118"/>
      <c r="AJ40" s="38" t="s">
        <v>1026</v>
      </c>
      <c r="AK40" s="38" t="s">
        <v>1026</v>
      </c>
      <c r="AL40" s="38" t="s">
        <v>1026</v>
      </c>
      <c r="AM40" s="32"/>
      <c r="AN40" s="118"/>
      <c r="AO40" s="32"/>
      <c r="AP40" s="118"/>
      <c r="AQ40" s="118"/>
      <c r="AR40" s="118"/>
      <c r="AS40" s="118"/>
      <c r="AT40" s="118"/>
      <c r="AU40" s="51"/>
      <c r="AV40" s="37"/>
      <c r="AW40" s="37"/>
      <c r="AX40" s="37"/>
      <c r="AY40" s="37"/>
      <c r="AZ40" s="37"/>
      <c r="BA40" s="37"/>
      <c r="BB40" s="37"/>
      <c r="BC40" s="37"/>
    </row>
    <row r="41" ht="15.75" customHeight="1">
      <c r="A41" s="37"/>
      <c r="B41" s="32" t="s">
        <v>1035</v>
      </c>
      <c r="C41" s="31"/>
      <c r="D41" s="31"/>
      <c r="E41" s="31"/>
      <c r="F41" s="31"/>
      <c r="G41" s="31"/>
      <c r="H41" s="32" t="s">
        <v>1038</v>
      </c>
      <c r="I41" s="32" t="s">
        <v>1041</v>
      </c>
      <c r="J41" s="32" t="s">
        <v>1041</v>
      </c>
      <c r="K41" s="32" t="s">
        <v>1041</v>
      </c>
      <c r="L41" s="32" t="s">
        <v>1041</v>
      </c>
      <c r="M41" s="32" t="s">
        <v>1041</v>
      </c>
      <c r="N41" s="32" t="s">
        <v>1041</v>
      </c>
      <c r="O41" s="32" t="s">
        <v>1041</v>
      </c>
      <c r="P41" s="32" t="s">
        <v>1041</v>
      </c>
      <c r="Q41" s="32" t="s">
        <v>1041</v>
      </c>
      <c r="R41" s="32" t="s">
        <v>1041</v>
      </c>
      <c r="S41" s="32" t="s">
        <v>1041</v>
      </c>
      <c r="T41" s="32" t="s">
        <v>1048</v>
      </c>
      <c r="U41" s="32" t="s">
        <v>1050</v>
      </c>
      <c r="V41" s="31"/>
      <c r="W41" s="31"/>
      <c r="X41" s="31"/>
      <c r="Y41" s="33" t="s">
        <v>1053</v>
      </c>
      <c r="Z41" s="31"/>
      <c r="AA41" s="31"/>
      <c r="AB41" s="31"/>
      <c r="AC41" s="31"/>
      <c r="AD41" s="32"/>
      <c r="AE41" s="32"/>
      <c r="AF41" s="32"/>
      <c r="AG41" s="32"/>
      <c r="AH41" s="32"/>
      <c r="AI41" s="32"/>
      <c r="AJ41" s="38" t="s">
        <v>1060</v>
      </c>
      <c r="AK41" s="38" t="s">
        <v>1061</v>
      </c>
      <c r="AL41" s="38"/>
      <c r="AM41" s="32"/>
      <c r="AN41" s="32"/>
      <c r="AO41" s="38" t="s">
        <v>1064</v>
      </c>
      <c r="AP41" s="32"/>
      <c r="AQ41" s="32"/>
      <c r="AR41" s="32"/>
      <c r="AS41" s="32"/>
      <c r="AT41" s="32"/>
      <c r="AU41" s="51"/>
      <c r="AV41" s="37"/>
      <c r="AW41" s="37"/>
      <c r="AX41" s="37"/>
      <c r="AY41" s="37"/>
      <c r="AZ41" s="37"/>
      <c r="BA41" s="37"/>
      <c r="BB41" s="37"/>
      <c r="BC41" s="37"/>
    </row>
    <row r="42" ht="15.75" customHeight="1">
      <c r="A42" s="37"/>
      <c r="B42" s="31"/>
      <c r="C42" s="31"/>
      <c r="D42" s="31"/>
      <c r="E42" s="31"/>
      <c r="F42" s="31"/>
      <c r="G42" s="31"/>
      <c r="H42" s="32" t="s">
        <v>1076</v>
      </c>
      <c r="I42" s="32" t="s">
        <v>1038</v>
      </c>
      <c r="J42" s="32" t="s">
        <v>1038</v>
      </c>
      <c r="K42" s="32" t="s">
        <v>1077</v>
      </c>
      <c r="L42" s="32" t="s">
        <v>1078</v>
      </c>
      <c r="M42" s="32" t="s">
        <v>1078</v>
      </c>
      <c r="N42" s="32" t="s">
        <v>1078</v>
      </c>
      <c r="O42" s="32" t="s">
        <v>1081</v>
      </c>
      <c r="P42" s="49" t="s">
        <v>1081</v>
      </c>
      <c r="Q42" s="31"/>
      <c r="R42" s="31"/>
      <c r="S42" s="31"/>
      <c r="T42" s="32" t="s">
        <v>1085</v>
      </c>
      <c r="U42" s="37"/>
      <c r="V42" s="37"/>
      <c r="W42" s="37"/>
      <c r="X42" s="37"/>
      <c r="Y42" s="33" t="s">
        <v>1090</v>
      </c>
      <c r="Z42" s="37"/>
      <c r="AA42" s="37"/>
      <c r="AB42" s="37"/>
      <c r="AC42" s="37"/>
      <c r="AD42" s="51"/>
      <c r="AE42" s="51"/>
      <c r="AF42" s="38" t="s">
        <v>1094</v>
      </c>
      <c r="AG42" s="32"/>
      <c r="AH42" s="32"/>
      <c r="AI42" s="32"/>
      <c r="AJ42" s="38" t="s">
        <v>1095</v>
      </c>
      <c r="AK42" s="38" t="s">
        <v>1095</v>
      </c>
      <c r="AL42" s="38"/>
      <c r="AM42" s="32"/>
      <c r="AN42" s="32"/>
      <c r="AO42" s="38" t="s">
        <v>1099</v>
      </c>
      <c r="AP42" s="32"/>
      <c r="AQ42" s="32"/>
      <c r="AR42" s="32"/>
      <c r="AS42" s="32"/>
      <c r="AT42" s="32"/>
      <c r="AU42" s="51"/>
      <c r="AV42" s="37"/>
      <c r="AW42" s="37"/>
      <c r="AX42" s="37"/>
      <c r="AY42" s="37"/>
      <c r="AZ42" s="37"/>
      <c r="BA42" s="37"/>
      <c r="BB42" s="37"/>
      <c r="BC42" s="37"/>
    </row>
    <row r="43" ht="24.0" customHeight="1">
      <c r="A43" s="37"/>
      <c r="B43" s="31"/>
      <c r="C43" s="31"/>
      <c r="D43" s="31"/>
      <c r="E43" s="31"/>
      <c r="F43" s="31"/>
      <c r="G43" s="32" t="s">
        <v>955</v>
      </c>
      <c r="H43" s="32" t="s">
        <v>1108</v>
      </c>
      <c r="I43" s="32" t="s">
        <v>1109</v>
      </c>
      <c r="J43" s="32" t="s">
        <v>1109</v>
      </c>
      <c r="K43" s="32" t="s">
        <v>1110</v>
      </c>
      <c r="L43" s="31"/>
      <c r="M43" s="31"/>
      <c r="N43" s="31"/>
      <c r="O43" s="31"/>
      <c r="P43" s="31"/>
      <c r="Q43" s="31"/>
      <c r="R43" s="31"/>
      <c r="S43" s="31"/>
      <c r="T43" s="37"/>
      <c r="U43" s="33" t="s">
        <v>1115</v>
      </c>
      <c r="V43" s="37"/>
      <c r="W43" s="37"/>
      <c r="X43" s="37"/>
      <c r="Y43" s="33" t="s">
        <v>1117</v>
      </c>
      <c r="Z43" s="37"/>
      <c r="AA43" s="37"/>
      <c r="AB43" s="37"/>
      <c r="AC43" s="37"/>
      <c r="AD43" s="51"/>
      <c r="AE43" s="51"/>
      <c r="AF43" s="38" t="s">
        <v>1121</v>
      </c>
      <c r="AG43" s="38" t="s">
        <v>1121</v>
      </c>
      <c r="AH43" s="32"/>
      <c r="AI43" s="38" t="s">
        <v>1122</v>
      </c>
      <c r="AJ43" s="38" t="s">
        <v>1121</v>
      </c>
      <c r="AK43" s="32"/>
      <c r="AL43" s="38"/>
      <c r="AM43" s="32"/>
      <c r="AN43" s="32"/>
      <c r="AO43" s="32"/>
      <c r="AP43" s="32"/>
      <c r="AQ43" s="32"/>
      <c r="AR43" s="32"/>
      <c r="AS43" s="32"/>
      <c r="AT43" s="32"/>
      <c r="AU43" s="51"/>
      <c r="AV43" s="37"/>
      <c r="AW43" s="37"/>
      <c r="AX43" s="37"/>
      <c r="AY43" s="37"/>
      <c r="AZ43" s="37"/>
      <c r="BA43" s="37"/>
      <c r="BB43" s="37"/>
      <c r="BC43" s="37"/>
    </row>
    <row r="44" ht="15.75" customHeight="1">
      <c r="A44" s="37"/>
      <c r="B44" s="37"/>
      <c r="C44" s="31"/>
      <c r="D44" s="31"/>
      <c r="E44" s="37"/>
      <c r="F44" s="37"/>
      <c r="G44" s="37"/>
      <c r="H44" s="37"/>
      <c r="I44" s="37"/>
      <c r="J44" s="37"/>
      <c r="K44" s="37"/>
      <c r="L44" s="37"/>
      <c r="M44" s="37"/>
      <c r="N44" s="33" t="s">
        <v>1132</v>
      </c>
      <c r="O44" s="31"/>
      <c r="P44" s="31"/>
      <c r="Q44" s="31"/>
      <c r="R44" s="31"/>
      <c r="S44" s="31"/>
      <c r="T44" s="37"/>
      <c r="U44" s="37"/>
      <c r="V44" s="37"/>
      <c r="W44" s="37"/>
      <c r="X44" s="37"/>
      <c r="Y44" s="37"/>
      <c r="Z44" s="37"/>
      <c r="AA44" s="33" t="s">
        <v>1136</v>
      </c>
      <c r="AB44" s="37"/>
      <c r="AC44" s="37"/>
      <c r="AD44" s="51"/>
      <c r="AE44" s="51"/>
      <c r="AF44" s="33" t="s">
        <v>1139</v>
      </c>
      <c r="AG44" s="146" t="s">
        <v>1140</v>
      </c>
      <c r="AH44" s="146" t="s">
        <v>1140</v>
      </c>
      <c r="AI44" s="146" t="s">
        <v>1140</v>
      </c>
      <c r="AJ44" s="146" t="s">
        <v>1140</v>
      </c>
      <c r="AK44" s="32"/>
      <c r="AL44" s="146" t="s">
        <v>1140</v>
      </c>
      <c r="AM44" s="146" t="s">
        <v>1140</v>
      </c>
      <c r="AN44" s="146" t="s">
        <v>1140</v>
      </c>
      <c r="AO44" s="51"/>
      <c r="AP44" s="43" t="s">
        <v>1146</v>
      </c>
      <c r="AQ44" s="32"/>
      <c r="AR44" s="32"/>
      <c r="AS44" s="32"/>
      <c r="AT44" s="32"/>
      <c r="AU44" s="51"/>
      <c r="AV44" s="37"/>
      <c r="AW44" s="37"/>
      <c r="AX44" s="37"/>
      <c r="AY44" s="37"/>
      <c r="AZ44" s="37"/>
      <c r="BA44" s="37"/>
      <c r="BB44" s="37"/>
      <c r="BC44" s="37"/>
    </row>
    <row r="45" ht="15.75" customHeight="1">
      <c r="A45" s="37"/>
      <c r="B45" s="31"/>
      <c r="C45" s="31"/>
      <c r="D45" s="31"/>
      <c r="E45" s="37"/>
      <c r="F45" s="37"/>
      <c r="G45" s="37"/>
      <c r="H45" s="37"/>
      <c r="I45" s="37"/>
      <c r="J45" s="37"/>
      <c r="K45" s="37"/>
      <c r="L45" s="37"/>
      <c r="M45" s="37"/>
      <c r="N45" s="32" t="s">
        <v>1155</v>
      </c>
      <c r="O45" s="32" t="s">
        <v>1155</v>
      </c>
      <c r="P45" s="32" t="s">
        <v>1155</v>
      </c>
      <c r="Q45" s="32" t="s">
        <v>1155</v>
      </c>
      <c r="R45" s="33" t="s">
        <v>1155</v>
      </c>
      <c r="S45" s="31"/>
      <c r="T45" s="31"/>
      <c r="U45" s="32" t="s">
        <v>1158</v>
      </c>
      <c r="V45" s="31"/>
      <c r="W45" s="31"/>
      <c r="X45" s="31"/>
      <c r="Y45" s="31"/>
      <c r="Z45" s="31"/>
      <c r="AA45" s="31"/>
      <c r="AB45" s="31"/>
      <c r="AC45" s="31"/>
      <c r="AD45" s="32"/>
      <c r="AE45" s="32"/>
      <c r="AF45" s="38" t="s">
        <v>1162</v>
      </c>
      <c r="AG45" s="38" t="s">
        <v>1162</v>
      </c>
      <c r="AH45" s="38" t="s">
        <v>1162</v>
      </c>
      <c r="AI45" s="38" t="s">
        <v>1162</v>
      </c>
      <c r="AJ45" s="32"/>
      <c r="AK45" s="38" t="s">
        <v>1163</v>
      </c>
      <c r="AL45" s="38"/>
      <c r="AM45" s="38" t="s">
        <v>1165</v>
      </c>
      <c r="AN45" s="38" t="s">
        <v>1165</v>
      </c>
      <c r="AO45" s="38" t="s">
        <v>1168</v>
      </c>
      <c r="AP45" s="32"/>
      <c r="AQ45" s="32"/>
      <c r="AR45" s="32"/>
      <c r="AS45" s="32"/>
      <c r="AT45" s="32"/>
      <c r="AU45" s="51"/>
      <c r="AV45" s="37"/>
      <c r="AW45" s="37"/>
      <c r="AX45" s="37"/>
      <c r="AY45" s="37"/>
      <c r="AZ45" s="37"/>
      <c r="BA45" s="37"/>
      <c r="BB45" s="37"/>
      <c r="BC45" s="37"/>
    </row>
    <row r="46" ht="15.75" customHeight="1">
      <c r="A46" s="37"/>
      <c r="B46" s="31"/>
      <c r="C46" s="37"/>
      <c r="D46" s="37"/>
      <c r="E46" s="37"/>
      <c r="F46" s="37"/>
      <c r="G46" s="37"/>
      <c r="H46" s="37"/>
      <c r="I46" s="37"/>
      <c r="J46" s="37"/>
      <c r="K46" s="37"/>
      <c r="L46" s="37"/>
      <c r="M46" s="37"/>
      <c r="N46" s="31"/>
      <c r="O46" s="31"/>
      <c r="P46" s="31"/>
      <c r="Q46" s="31"/>
      <c r="R46" s="31"/>
      <c r="S46" s="31"/>
      <c r="T46" s="37"/>
      <c r="U46" s="37"/>
      <c r="V46" s="37"/>
      <c r="W46" s="37"/>
      <c r="X46" s="37"/>
      <c r="Y46" s="37"/>
      <c r="Z46" s="37"/>
      <c r="AA46" s="37"/>
      <c r="AB46" s="37"/>
      <c r="AC46" s="37"/>
      <c r="AD46" s="51"/>
      <c r="AE46" s="51"/>
      <c r="AF46" s="146" t="s">
        <v>1185</v>
      </c>
      <c r="AG46" s="146" t="s">
        <v>1185</v>
      </c>
      <c r="AH46" s="51"/>
      <c r="AI46" s="51"/>
      <c r="AJ46" s="51"/>
      <c r="AK46" s="146" t="s">
        <v>1188</v>
      </c>
      <c r="AL46" s="146" t="s">
        <v>1188</v>
      </c>
      <c r="AM46" s="146" t="s">
        <v>1188</v>
      </c>
      <c r="AN46" s="51"/>
      <c r="AO46" s="38" t="s">
        <v>1188</v>
      </c>
      <c r="AP46" s="51"/>
      <c r="AQ46" s="51"/>
      <c r="AR46" s="51"/>
      <c r="AS46" s="51"/>
      <c r="AT46" s="51"/>
      <c r="AU46" s="51"/>
      <c r="AV46" s="37"/>
      <c r="AW46" s="37"/>
      <c r="AX46" s="37"/>
      <c r="AY46" s="37"/>
      <c r="AZ46" s="37"/>
      <c r="BA46" s="37"/>
      <c r="BB46" s="37"/>
      <c r="BC46" s="37"/>
    </row>
    <row r="47" ht="15.75" customHeight="1">
      <c r="A47" s="37"/>
      <c r="B47" s="31"/>
      <c r="C47" s="31"/>
      <c r="D47" s="31"/>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51"/>
      <c r="AE47" s="51"/>
      <c r="AF47" s="146" t="s">
        <v>1204</v>
      </c>
      <c r="AG47" s="146" t="s">
        <v>1204</v>
      </c>
      <c r="AH47" s="51"/>
      <c r="AI47" s="51"/>
      <c r="AJ47" s="51"/>
      <c r="AK47" s="146" t="s">
        <v>1206</v>
      </c>
      <c r="AL47" s="146" t="s">
        <v>1206</v>
      </c>
      <c r="AM47" s="51"/>
      <c r="AN47" s="51"/>
      <c r="AO47" s="146" t="s">
        <v>1209</v>
      </c>
      <c r="AP47" s="51"/>
      <c r="AQ47" s="156" t="s">
        <v>1209</v>
      </c>
      <c r="AR47" s="156" t="s">
        <v>1206</v>
      </c>
      <c r="AS47" s="51"/>
      <c r="AT47" s="51"/>
      <c r="AU47" s="51"/>
      <c r="AV47" s="37"/>
      <c r="AW47" s="37"/>
      <c r="AX47" s="37"/>
      <c r="AY47" s="37"/>
      <c r="AZ47" s="37"/>
      <c r="BA47" s="37"/>
      <c r="BB47" s="37"/>
      <c r="BC47" s="37"/>
    </row>
    <row r="48" ht="15.75" customHeight="1">
      <c r="A48" s="58" t="s">
        <v>1213</v>
      </c>
      <c r="B48" s="59"/>
      <c r="C48" s="59"/>
      <c r="D48" s="59"/>
      <c r="E48" s="59"/>
      <c r="F48" s="59"/>
      <c r="G48" s="59"/>
      <c r="H48" s="59"/>
      <c r="I48" s="59"/>
      <c r="J48" s="61" t="s">
        <v>1218</v>
      </c>
      <c r="K48" s="59"/>
      <c r="L48" s="59"/>
      <c r="M48" s="61" t="s">
        <v>1219</v>
      </c>
      <c r="N48" s="59"/>
      <c r="O48" s="59"/>
      <c r="P48" s="59"/>
      <c r="Q48" s="59"/>
      <c r="R48" s="61" t="s">
        <v>1225</v>
      </c>
      <c r="S48" s="61" t="s">
        <v>1226</v>
      </c>
      <c r="T48" s="61" t="s">
        <v>1227</v>
      </c>
      <c r="U48" s="59"/>
      <c r="V48" s="59"/>
      <c r="W48" s="98" t="s">
        <v>1228</v>
      </c>
      <c r="X48" s="59"/>
      <c r="Y48" s="59"/>
      <c r="Z48" s="60" t="s">
        <v>1229</v>
      </c>
      <c r="AA48" s="59"/>
      <c r="AB48" s="59"/>
      <c r="AC48" s="59"/>
      <c r="AD48" s="61"/>
      <c r="AE48" s="61"/>
      <c r="AF48" s="61"/>
      <c r="AG48" s="61"/>
      <c r="AH48" s="61"/>
      <c r="AI48" s="61"/>
      <c r="AJ48" s="71" t="s">
        <v>1230</v>
      </c>
      <c r="AK48" s="61"/>
      <c r="AL48" s="61"/>
      <c r="AM48" s="71" t="s">
        <v>1231</v>
      </c>
      <c r="AN48" s="61"/>
      <c r="AO48" s="61"/>
      <c r="AP48" s="61"/>
      <c r="AQ48" s="61"/>
      <c r="AR48" s="61"/>
      <c r="AS48" s="61"/>
      <c r="AT48" s="61"/>
      <c r="AU48" s="62"/>
      <c r="AV48" s="46"/>
      <c r="AW48" s="46"/>
      <c r="AX48" s="46"/>
      <c r="AY48" s="46"/>
      <c r="AZ48" s="46"/>
      <c r="BA48" s="46"/>
      <c r="BB48" s="46"/>
      <c r="BC48" s="46"/>
    </row>
    <row r="49" ht="15.75" customHeight="1">
      <c r="A49" s="46"/>
      <c r="B49" s="61" t="s">
        <v>1234</v>
      </c>
      <c r="C49" s="59"/>
      <c r="D49" s="59"/>
      <c r="E49" s="59"/>
      <c r="F49" s="59"/>
      <c r="G49" s="59"/>
      <c r="H49" s="59"/>
      <c r="I49" s="59"/>
      <c r="J49" s="61" t="s">
        <v>1237</v>
      </c>
      <c r="K49" s="59"/>
      <c r="L49" s="59"/>
      <c r="M49" s="59"/>
      <c r="N49" s="59"/>
      <c r="O49" s="59"/>
      <c r="P49" s="59"/>
      <c r="Q49" s="59"/>
      <c r="R49" s="59"/>
      <c r="S49" s="59"/>
      <c r="T49" s="59"/>
      <c r="U49" s="59"/>
      <c r="V49" s="59"/>
      <c r="W49" s="98" t="s">
        <v>1240</v>
      </c>
      <c r="X49" s="59"/>
      <c r="Y49" s="59"/>
      <c r="Z49" s="59"/>
      <c r="AA49" s="59"/>
      <c r="AB49" s="59"/>
      <c r="AC49" s="59"/>
      <c r="AD49" s="61"/>
      <c r="AE49" s="61"/>
      <c r="AF49" s="61"/>
      <c r="AG49" s="61"/>
      <c r="AH49" s="61"/>
      <c r="AI49" s="61"/>
      <c r="AJ49" s="61"/>
      <c r="AK49" s="61"/>
      <c r="AL49" s="61"/>
      <c r="AM49" s="61"/>
      <c r="AN49" s="61"/>
      <c r="AO49" s="61"/>
      <c r="AP49" s="61"/>
      <c r="AQ49" s="61"/>
      <c r="AR49" s="61"/>
      <c r="AS49" s="61"/>
      <c r="AT49" s="61"/>
      <c r="AU49" s="62"/>
      <c r="AV49" s="46"/>
      <c r="AW49" s="46"/>
      <c r="AX49" s="46"/>
      <c r="AY49" s="46"/>
      <c r="AZ49" s="46"/>
      <c r="BA49" s="46"/>
      <c r="BB49" s="46"/>
      <c r="BC49" s="46"/>
    </row>
    <row r="50" ht="15.75" customHeight="1">
      <c r="A50" s="46"/>
      <c r="B50" s="61" t="s">
        <v>1247</v>
      </c>
      <c r="C50" s="59"/>
      <c r="D50" s="59"/>
      <c r="E50" s="59"/>
      <c r="F50" s="59"/>
      <c r="G50" s="59"/>
      <c r="H50" s="59"/>
      <c r="I50" s="59"/>
      <c r="J50" s="59"/>
      <c r="K50" s="61" t="s">
        <v>1248</v>
      </c>
      <c r="L50" s="61" t="s">
        <v>1250</v>
      </c>
      <c r="M50" s="59"/>
      <c r="N50" s="59"/>
      <c r="O50" s="59"/>
      <c r="P50" s="59"/>
      <c r="Q50" s="59"/>
      <c r="R50" s="59"/>
      <c r="S50" s="59"/>
      <c r="T50" s="59"/>
      <c r="U50" s="59"/>
      <c r="V50" s="59"/>
      <c r="W50" s="59"/>
      <c r="X50" s="59"/>
      <c r="Y50" s="46"/>
      <c r="Z50" s="46"/>
      <c r="AA50" s="46"/>
      <c r="AB50" s="46"/>
      <c r="AC50" s="46"/>
      <c r="AD50" s="62"/>
      <c r="AE50" s="62"/>
      <c r="AF50" s="62"/>
      <c r="AG50" s="62"/>
      <c r="AH50" s="62"/>
      <c r="AI50" s="62"/>
      <c r="AJ50" s="62"/>
      <c r="AK50" s="62"/>
      <c r="AL50" s="62"/>
      <c r="AM50" s="62"/>
      <c r="AN50" s="62"/>
      <c r="AO50" s="62"/>
      <c r="AP50" s="62"/>
      <c r="AQ50" s="62"/>
      <c r="AR50" s="62"/>
      <c r="AS50" s="62"/>
      <c r="AT50" s="62"/>
      <c r="AU50" s="62"/>
      <c r="AV50" s="46"/>
      <c r="AW50" s="46"/>
      <c r="AX50" s="46"/>
      <c r="AY50" s="46"/>
      <c r="AZ50" s="46"/>
      <c r="BA50" s="46"/>
      <c r="BB50" s="46"/>
      <c r="BC50" s="46"/>
    </row>
    <row r="51" ht="15.75" customHeight="1">
      <c r="A51" s="46"/>
      <c r="B51" s="61" t="s">
        <v>1257</v>
      </c>
      <c r="C51" s="59"/>
      <c r="D51" s="59"/>
      <c r="E51" s="59"/>
      <c r="F51" s="59"/>
      <c r="G51" s="59"/>
      <c r="H51" s="59"/>
      <c r="I51" s="59"/>
      <c r="J51" s="59"/>
      <c r="K51" s="59"/>
      <c r="L51" s="59"/>
      <c r="M51" s="59"/>
      <c r="N51" s="61" t="s">
        <v>1259</v>
      </c>
      <c r="O51" s="61" t="s">
        <v>1259</v>
      </c>
      <c r="P51" s="60" t="s">
        <v>1259</v>
      </c>
      <c r="Q51" s="59"/>
      <c r="R51" s="59"/>
      <c r="S51" s="59"/>
      <c r="T51" s="59"/>
      <c r="U51" s="59"/>
      <c r="V51" s="59"/>
      <c r="W51" s="59"/>
      <c r="X51" s="46"/>
      <c r="Y51" s="46"/>
      <c r="Z51" s="46"/>
      <c r="AA51" s="46"/>
      <c r="AB51" s="46"/>
      <c r="AC51" s="46"/>
      <c r="AD51" s="62"/>
      <c r="AE51" s="62"/>
      <c r="AF51" s="62"/>
      <c r="AG51" s="62"/>
      <c r="AH51" s="62"/>
      <c r="AI51" s="62"/>
      <c r="AJ51" s="62"/>
      <c r="AK51" s="62"/>
      <c r="AL51" s="62"/>
      <c r="AM51" s="62"/>
      <c r="AN51" s="62"/>
      <c r="AO51" s="62"/>
      <c r="AP51" s="62"/>
      <c r="AQ51" s="62"/>
      <c r="AR51" s="62"/>
      <c r="AS51" s="62"/>
      <c r="AT51" s="62"/>
      <c r="AU51" s="62"/>
      <c r="AV51" s="46"/>
      <c r="AW51" s="46"/>
      <c r="AX51" s="46"/>
      <c r="AY51" s="46"/>
      <c r="AZ51" s="46"/>
      <c r="BA51" s="46"/>
      <c r="BB51" s="46"/>
      <c r="BC51" s="46"/>
    </row>
    <row r="52" ht="15.75" customHeight="1">
      <c r="A52" s="46"/>
      <c r="B52" s="59"/>
      <c r="C52" s="59"/>
      <c r="D52" s="59"/>
      <c r="E52" s="59"/>
      <c r="F52" s="59"/>
      <c r="G52" s="59"/>
      <c r="H52" s="59"/>
      <c r="I52" s="59"/>
      <c r="J52" s="59"/>
      <c r="K52" s="59"/>
      <c r="L52" s="59"/>
      <c r="M52" s="59"/>
      <c r="N52" s="59"/>
      <c r="O52" s="59"/>
      <c r="P52" s="59"/>
      <c r="Q52" s="59"/>
      <c r="R52" s="59"/>
      <c r="S52" s="59"/>
      <c r="T52" s="59"/>
      <c r="U52" s="59"/>
      <c r="V52" s="59"/>
      <c r="W52" s="59"/>
      <c r="X52" s="46"/>
      <c r="Y52" s="46"/>
      <c r="Z52" s="46"/>
      <c r="AA52" s="46"/>
      <c r="AB52" s="46"/>
      <c r="AC52" s="46"/>
      <c r="AD52" s="62"/>
      <c r="AE52" s="62"/>
      <c r="AF52" s="62"/>
      <c r="AG52" s="62"/>
      <c r="AH52" s="62"/>
      <c r="AI52" s="62"/>
      <c r="AJ52" s="62"/>
      <c r="AK52" s="62"/>
      <c r="AL52" s="62"/>
      <c r="AM52" s="62"/>
      <c r="AN52" s="62"/>
      <c r="AO52" s="62"/>
      <c r="AP52" s="62"/>
      <c r="AQ52" s="62"/>
      <c r="AR52" s="62"/>
      <c r="AS52" s="62"/>
      <c r="AT52" s="62"/>
      <c r="AU52" s="62"/>
      <c r="AV52" s="46"/>
      <c r="AW52" s="46"/>
      <c r="AX52" s="46"/>
      <c r="AY52" s="46"/>
      <c r="AZ52" s="46"/>
      <c r="BA52" s="46"/>
      <c r="BB52" s="46"/>
      <c r="BC52" s="46"/>
    </row>
    <row r="53" ht="15.75" customHeight="1">
      <c r="A53" s="46"/>
      <c r="B53" s="59"/>
      <c r="C53" s="59"/>
      <c r="D53" s="59"/>
      <c r="E53" s="59"/>
      <c r="F53" s="59"/>
      <c r="G53" s="59"/>
      <c r="H53" s="59"/>
      <c r="I53" s="59"/>
      <c r="J53" s="59"/>
      <c r="K53" s="59"/>
      <c r="L53" s="59"/>
      <c r="M53" s="59"/>
      <c r="N53" s="59"/>
      <c r="O53" s="59"/>
      <c r="P53" s="59"/>
      <c r="Q53" s="59"/>
      <c r="R53" s="59"/>
      <c r="S53" s="59"/>
      <c r="T53" s="59"/>
      <c r="U53" s="59"/>
      <c r="V53" s="59"/>
      <c r="W53" s="59"/>
      <c r="X53" s="46"/>
      <c r="Y53" s="46"/>
      <c r="Z53" s="46"/>
      <c r="AA53" s="46"/>
      <c r="AB53" s="46"/>
      <c r="AC53" s="46"/>
      <c r="AD53" s="62"/>
      <c r="AE53" s="62"/>
      <c r="AF53" s="62"/>
      <c r="AG53" s="62"/>
      <c r="AH53" s="62"/>
      <c r="AI53" s="62"/>
      <c r="AJ53" s="62"/>
      <c r="AK53" s="62"/>
      <c r="AL53" s="62"/>
      <c r="AM53" s="62"/>
      <c r="AN53" s="62"/>
      <c r="AO53" s="62"/>
      <c r="AP53" s="62"/>
      <c r="AQ53" s="62"/>
      <c r="AR53" s="62"/>
      <c r="AS53" s="62"/>
      <c r="AT53" s="62"/>
      <c r="AU53" s="62"/>
      <c r="AV53" s="46"/>
      <c r="AW53" s="46"/>
      <c r="AX53" s="46"/>
      <c r="AY53" s="46"/>
      <c r="AZ53" s="46"/>
      <c r="BA53" s="46"/>
      <c r="BB53" s="46"/>
      <c r="BC53" s="46"/>
    </row>
    <row r="54" ht="15.75" customHeight="1">
      <c r="A54" s="46"/>
      <c r="B54" s="59"/>
      <c r="C54" s="59"/>
      <c r="D54" s="59"/>
      <c r="E54" s="59"/>
      <c r="F54" s="59"/>
      <c r="G54" s="59"/>
      <c r="H54" s="59"/>
      <c r="I54" s="59"/>
      <c r="J54" s="59"/>
      <c r="K54" s="59"/>
      <c r="L54" s="59"/>
      <c r="M54" s="59"/>
      <c r="N54" s="59"/>
      <c r="O54" s="59"/>
      <c r="P54" s="59"/>
      <c r="Q54" s="59"/>
      <c r="R54" s="59"/>
      <c r="S54" s="59"/>
      <c r="T54" s="59"/>
      <c r="U54" s="59"/>
      <c r="V54" s="59"/>
      <c r="W54" s="59"/>
      <c r="X54" s="46"/>
      <c r="Y54" s="46"/>
      <c r="Z54" s="46"/>
      <c r="AA54" s="46"/>
      <c r="AB54" s="46"/>
      <c r="AC54" s="46"/>
      <c r="AD54" s="62"/>
      <c r="AE54" s="62"/>
      <c r="AF54" s="62"/>
      <c r="AG54" s="62"/>
      <c r="AH54" s="62"/>
      <c r="AI54" s="62"/>
      <c r="AJ54" s="62"/>
      <c r="AK54" s="62"/>
      <c r="AL54" s="62"/>
      <c r="AM54" s="62"/>
      <c r="AN54" s="62"/>
      <c r="AO54" s="62"/>
      <c r="AP54" s="62"/>
      <c r="AQ54" s="62"/>
      <c r="AR54" s="62"/>
      <c r="AS54" s="62"/>
      <c r="AT54" s="62"/>
      <c r="AU54" s="62"/>
      <c r="AV54" s="46"/>
      <c r="AW54" s="46"/>
      <c r="AX54" s="46"/>
      <c r="AY54" s="46"/>
      <c r="AZ54" s="46"/>
      <c r="BA54" s="46"/>
      <c r="BB54" s="46"/>
      <c r="BC54" s="46"/>
    </row>
    <row r="55" ht="15.75" customHeight="1">
      <c r="A55" s="46"/>
      <c r="B55" s="59"/>
      <c r="C55" s="59"/>
      <c r="D55" s="59"/>
      <c r="E55" s="59"/>
      <c r="F55" s="59"/>
      <c r="G55" s="59"/>
      <c r="H55" s="59"/>
      <c r="I55" s="59"/>
      <c r="J55" s="59"/>
      <c r="K55" s="59"/>
      <c r="L55" s="59"/>
      <c r="M55" s="59"/>
      <c r="N55" s="59"/>
      <c r="O55" s="59"/>
      <c r="P55" s="59"/>
      <c r="Q55" s="59"/>
      <c r="R55" s="59"/>
      <c r="S55" s="59"/>
      <c r="T55" s="59"/>
      <c r="U55" s="59"/>
      <c r="V55" s="59"/>
      <c r="W55" s="59"/>
      <c r="X55" s="46"/>
      <c r="Y55" s="46"/>
      <c r="Z55" s="46"/>
      <c r="AA55" s="46"/>
      <c r="AB55" s="46"/>
      <c r="AC55" s="46"/>
      <c r="AD55" s="62"/>
      <c r="AE55" s="62"/>
      <c r="AF55" s="62"/>
      <c r="AG55" s="62"/>
      <c r="AH55" s="62"/>
      <c r="AI55" s="62"/>
      <c r="AJ55" s="62"/>
      <c r="AK55" s="62"/>
      <c r="AL55" s="62"/>
      <c r="AM55" s="62"/>
      <c r="AN55" s="62"/>
      <c r="AO55" s="62"/>
      <c r="AP55" s="62"/>
      <c r="AQ55" s="62"/>
      <c r="AR55" s="62"/>
      <c r="AS55" s="62"/>
      <c r="AT55" s="62"/>
      <c r="AU55" s="62"/>
      <c r="AV55" s="46"/>
      <c r="AW55" s="46"/>
      <c r="AX55" s="46"/>
      <c r="AY55" s="46"/>
      <c r="AZ55" s="46"/>
      <c r="BA55" s="46"/>
      <c r="BB55" s="46"/>
      <c r="BC55" s="46"/>
    </row>
    <row r="56" ht="15.75" customHeight="1">
      <c r="A56" s="46"/>
      <c r="B56" s="59"/>
      <c r="C56" s="59"/>
      <c r="D56" s="59"/>
      <c r="E56" s="59"/>
      <c r="F56" s="59"/>
      <c r="G56" s="59"/>
      <c r="H56" s="59"/>
      <c r="I56" s="59"/>
      <c r="J56" s="59"/>
      <c r="K56" s="59"/>
      <c r="L56" s="59"/>
      <c r="M56" s="59"/>
      <c r="N56" s="59"/>
      <c r="O56" s="59"/>
      <c r="P56" s="59"/>
      <c r="Q56" s="59"/>
      <c r="R56" s="59"/>
      <c r="S56" s="59"/>
      <c r="T56" s="46"/>
      <c r="U56" s="46"/>
      <c r="V56" s="46"/>
      <c r="W56" s="46"/>
      <c r="X56" s="45"/>
      <c r="Y56" s="45"/>
      <c r="Z56" s="45"/>
      <c r="AA56" s="45"/>
      <c r="AB56" s="45"/>
      <c r="AC56" s="45"/>
      <c r="AD56" s="44"/>
      <c r="AE56" s="44"/>
      <c r="AF56" s="44"/>
      <c r="AG56" s="44"/>
      <c r="AH56" s="44"/>
      <c r="AI56" s="44"/>
      <c r="AJ56" s="44"/>
      <c r="AK56" s="44"/>
      <c r="AL56" s="44"/>
      <c r="AM56" s="44"/>
      <c r="AN56" s="44"/>
      <c r="AO56" s="44"/>
      <c r="AP56" s="44"/>
      <c r="AQ56" s="44"/>
      <c r="AR56" s="44"/>
      <c r="AS56" s="44"/>
      <c r="AT56" s="44"/>
      <c r="AU56" s="44"/>
      <c r="AV56" s="45"/>
      <c r="AW56" s="46"/>
      <c r="AX56" s="46"/>
      <c r="AY56" s="46"/>
      <c r="AZ56" s="46"/>
      <c r="BA56" s="46"/>
      <c r="BB56" s="46"/>
      <c r="BC56" s="46"/>
    </row>
    <row r="57" ht="15.75" customHeight="1">
      <c r="A57" s="46"/>
      <c r="B57" s="59"/>
      <c r="C57" s="59"/>
      <c r="D57" s="59"/>
      <c r="E57" s="59"/>
      <c r="F57" s="59"/>
      <c r="G57" s="59"/>
      <c r="H57" s="59"/>
      <c r="I57" s="59"/>
      <c r="J57" s="59"/>
      <c r="K57" s="59"/>
      <c r="L57" s="59"/>
      <c r="M57" s="59"/>
      <c r="N57" s="59"/>
      <c r="O57" s="59"/>
      <c r="P57" s="59"/>
      <c r="Q57" s="59"/>
      <c r="R57" s="59"/>
      <c r="S57" s="59"/>
      <c r="T57" s="46"/>
      <c r="U57" s="46"/>
      <c r="V57" s="46"/>
      <c r="W57" s="46"/>
      <c r="X57" s="45"/>
      <c r="Y57" s="45"/>
      <c r="Z57" s="45"/>
      <c r="AA57" s="45"/>
      <c r="AB57" s="45"/>
      <c r="AC57" s="45"/>
      <c r="AD57" s="44"/>
      <c r="AE57" s="44"/>
      <c r="AF57" s="44"/>
      <c r="AG57" s="44"/>
      <c r="AH57" s="44"/>
      <c r="AI57" s="44"/>
      <c r="AJ57" s="44"/>
      <c r="AK57" s="44"/>
      <c r="AL57" s="44"/>
      <c r="AM57" s="44"/>
      <c r="AN57" s="44"/>
      <c r="AO57" s="44"/>
      <c r="AP57" s="44"/>
      <c r="AQ57" s="44"/>
      <c r="AR57" s="44"/>
      <c r="AS57" s="44"/>
      <c r="AT57" s="44"/>
      <c r="AU57" s="44"/>
      <c r="AV57" s="45"/>
      <c r="AW57" s="46"/>
      <c r="AX57" s="46"/>
      <c r="AY57" s="46"/>
      <c r="AZ57" s="46"/>
      <c r="BA57" s="46"/>
      <c r="BB57" s="46"/>
      <c r="BC57" s="46"/>
    </row>
    <row r="58" ht="15.75" customHeight="1">
      <c r="A58" s="46"/>
      <c r="B58" s="59"/>
      <c r="C58" s="59"/>
      <c r="D58" s="59"/>
      <c r="E58" s="46"/>
      <c r="F58" s="46"/>
      <c r="G58" s="46"/>
      <c r="H58" s="46"/>
      <c r="I58" s="46"/>
      <c r="J58" s="46"/>
      <c r="K58" s="46"/>
      <c r="L58" s="46"/>
      <c r="M58" s="46"/>
      <c r="N58" s="46"/>
      <c r="O58" s="46"/>
      <c r="P58" s="46"/>
      <c r="Q58" s="46"/>
      <c r="R58" s="46"/>
      <c r="S58" s="46"/>
      <c r="T58" s="46"/>
      <c r="U58" s="46"/>
      <c r="V58" s="46"/>
      <c r="W58" s="46"/>
      <c r="X58" s="45"/>
      <c r="Y58" s="45"/>
      <c r="Z58" s="45"/>
      <c r="AA58" s="45"/>
      <c r="AB58" s="45"/>
      <c r="AC58" s="45"/>
      <c r="AD58" s="44"/>
      <c r="AE58" s="44"/>
      <c r="AF58" s="44"/>
      <c r="AG58" s="44"/>
      <c r="AH58" s="44"/>
      <c r="AI58" s="44"/>
      <c r="AJ58" s="44"/>
      <c r="AK58" s="44"/>
      <c r="AL58" s="44"/>
      <c r="AM58" s="44"/>
      <c r="AN58" s="44"/>
      <c r="AO58" s="44"/>
      <c r="AP58" s="44"/>
      <c r="AQ58" s="44"/>
      <c r="AR58" s="44"/>
      <c r="AS58" s="44"/>
      <c r="AT58" s="44"/>
      <c r="AU58" s="44"/>
      <c r="AV58" s="45"/>
      <c r="AW58" s="46"/>
      <c r="AX58" s="46"/>
      <c r="AY58" s="46"/>
      <c r="AZ58" s="46"/>
      <c r="BA58" s="46"/>
      <c r="BB58" s="46"/>
      <c r="BC58" s="46"/>
    </row>
    <row r="59" ht="15.75" customHeight="1">
      <c r="A59" s="46"/>
      <c r="B59" s="59"/>
      <c r="C59" s="59"/>
      <c r="D59" s="59"/>
      <c r="E59" s="46"/>
      <c r="F59" s="46"/>
      <c r="G59" s="46"/>
      <c r="H59" s="46"/>
      <c r="I59" s="46"/>
      <c r="J59" s="46"/>
      <c r="K59" s="46"/>
      <c r="L59" s="46"/>
      <c r="M59" s="46"/>
      <c r="N59" s="46"/>
      <c r="O59" s="46"/>
      <c r="P59" s="46"/>
      <c r="Q59" s="46"/>
      <c r="R59" s="46"/>
      <c r="S59" s="46"/>
      <c r="T59" s="46"/>
      <c r="U59" s="46"/>
      <c r="V59" s="46"/>
      <c r="W59" s="46"/>
      <c r="X59" s="45"/>
      <c r="Y59" s="45"/>
      <c r="Z59" s="45"/>
      <c r="AA59" s="45"/>
      <c r="AB59" s="45"/>
      <c r="AC59" s="45"/>
      <c r="AD59" s="44"/>
      <c r="AE59" s="44"/>
      <c r="AF59" s="44"/>
      <c r="AG59" s="44"/>
      <c r="AH59" s="44"/>
      <c r="AI59" s="44"/>
      <c r="AJ59" s="44"/>
      <c r="AK59" s="44"/>
      <c r="AL59" s="44"/>
      <c r="AM59" s="44"/>
      <c r="AN59" s="44"/>
      <c r="AO59" s="44"/>
      <c r="AP59" s="44"/>
      <c r="AQ59" s="44"/>
      <c r="AR59" s="44"/>
      <c r="AS59" s="44"/>
      <c r="AT59" s="44"/>
      <c r="AU59" s="44"/>
      <c r="AV59" s="45"/>
      <c r="AW59" s="46"/>
      <c r="AX59" s="46"/>
      <c r="AY59" s="46"/>
      <c r="AZ59" s="46"/>
      <c r="BA59" s="46"/>
      <c r="BB59" s="46"/>
      <c r="BC59" s="46"/>
    </row>
    <row r="60" ht="15.75" customHeight="1">
      <c r="A60" s="46"/>
      <c r="B60" s="59"/>
      <c r="C60" s="59"/>
      <c r="D60" s="59"/>
      <c r="E60" s="46"/>
      <c r="F60" s="46"/>
      <c r="G60" s="46"/>
      <c r="H60" s="46"/>
      <c r="I60" s="46"/>
      <c r="J60" s="46"/>
      <c r="K60" s="46"/>
      <c r="L60" s="46"/>
      <c r="M60" s="46"/>
      <c r="N60" s="46"/>
      <c r="O60" s="46"/>
      <c r="P60" s="46"/>
      <c r="Q60" s="46"/>
      <c r="R60" s="46"/>
      <c r="S60" s="46"/>
      <c r="T60" s="46"/>
      <c r="U60" s="46"/>
      <c r="V60" s="46"/>
      <c r="W60" s="46"/>
      <c r="X60" s="45"/>
      <c r="Y60" s="45"/>
      <c r="Z60" s="45"/>
      <c r="AA60" s="45"/>
      <c r="AB60" s="45"/>
      <c r="AC60" s="45"/>
      <c r="AD60" s="44"/>
      <c r="AE60" s="44"/>
      <c r="AF60" s="44"/>
      <c r="AG60" s="44"/>
      <c r="AH60" s="44"/>
      <c r="AI60" s="44"/>
      <c r="AJ60" s="44"/>
      <c r="AK60" s="44"/>
      <c r="AL60" s="44"/>
      <c r="AM60" s="44"/>
      <c r="AN60" s="44"/>
      <c r="AO60" s="44"/>
      <c r="AP60" s="44"/>
      <c r="AQ60" s="44"/>
      <c r="AR60" s="44"/>
      <c r="AS60" s="44"/>
      <c r="AT60" s="44"/>
      <c r="AU60" s="44"/>
      <c r="AV60" s="45"/>
      <c r="AW60" s="46"/>
      <c r="AX60" s="46"/>
      <c r="AY60" s="46"/>
      <c r="AZ60" s="46"/>
      <c r="BA60" s="46"/>
      <c r="BB60" s="46"/>
      <c r="BC60" s="46"/>
    </row>
    <row r="61" ht="15.75" customHeight="1">
      <c r="A61" s="46"/>
      <c r="B61" s="59"/>
      <c r="C61" s="59"/>
      <c r="D61" s="59"/>
      <c r="E61" s="46"/>
      <c r="F61" s="46"/>
      <c r="G61" s="46"/>
      <c r="H61" s="46"/>
      <c r="I61" s="46"/>
      <c r="J61" s="46"/>
      <c r="K61" s="46"/>
      <c r="L61" s="46"/>
      <c r="M61" s="46"/>
      <c r="N61" s="46"/>
      <c r="O61" s="46"/>
      <c r="P61" s="46"/>
      <c r="Q61" s="46"/>
      <c r="R61" s="46"/>
      <c r="S61" s="46"/>
      <c r="T61" s="46"/>
      <c r="U61" s="46"/>
      <c r="V61" s="46"/>
      <c r="W61" s="46"/>
      <c r="X61" s="45"/>
      <c r="Y61" s="45"/>
      <c r="Z61" s="45"/>
      <c r="AA61" s="45"/>
      <c r="AB61" s="45"/>
      <c r="AC61" s="45"/>
      <c r="AD61" s="44"/>
      <c r="AE61" s="44"/>
      <c r="AF61" s="44"/>
      <c r="AG61" s="44"/>
      <c r="AH61" s="44"/>
      <c r="AI61" s="44"/>
      <c r="AJ61" s="44"/>
      <c r="AK61" s="44"/>
      <c r="AL61" s="44"/>
      <c r="AM61" s="44"/>
      <c r="AN61" s="44"/>
      <c r="AO61" s="44"/>
      <c r="AP61" s="44"/>
      <c r="AQ61" s="44"/>
      <c r="AR61" s="44"/>
      <c r="AS61" s="44"/>
      <c r="AT61" s="44"/>
      <c r="AU61" s="44"/>
      <c r="AV61" s="45"/>
      <c r="AW61" s="46"/>
      <c r="AX61" s="46"/>
      <c r="AY61" s="46"/>
      <c r="AZ61" s="46"/>
      <c r="BA61" s="46"/>
      <c r="BB61" s="46"/>
      <c r="BC61" s="46"/>
    </row>
    <row r="62" ht="15.75" customHeight="1">
      <c r="A62" s="46"/>
      <c r="B62" s="59"/>
      <c r="C62" s="59"/>
      <c r="D62" s="59"/>
      <c r="E62" s="59"/>
      <c r="F62" s="59"/>
      <c r="G62" s="59"/>
      <c r="H62" s="59"/>
      <c r="I62" s="59"/>
      <c r="J62" s="59"/>
      <c r="K62" s="59"/>
      <c r="L62" s="59"/>
      <c r="M62" s="59"/>
      <c r="N62" s="59"/>
      <c r="O62" s="59"/>
      <c r="P62" s="59"/>
      <c r="Q62" s="59"/>
      <c r="R62" s="59"/>
      <c r="S62" s="59"/>
      <c r="T62" s="59"/>
      <c r="U62" s="59"/>
      <c r="V62" s="59"/>
      <c r="W62" s="59"/>
      <c r="X62" s="45"/>
      <c r="Y62" s="45"/>
      <c r="Z62" s="45"/>
      <c r="AA62" s="45"/>
      <c r="AB62" s="45"/>
      <c r="AC62" s="45"/>
      <c r="AD62" s="44"/>
      <c r="AE62" s="44"/>
      <c r="AF62" s="44"/>
      <c r="AG62" s="44"/>
      <c r="AH62" s="44"/>
      <c r="AI62" s="44"/>
      <c r="AJ62" s="44"/>
      <c r="AK62" s="44"/>
      <c r="AL62" s="44"/>
      <c r="AM62" s="44"/>
      <c r="AN62" s="44"/>
      <c r="AO62" s="44"/>
      <c r="AP62" s="44"/>
      <c r="AQ62" s="44"/>
      <c r="AR62" s="44"/>
      <c r="AS62" s="44"/>
      <c r="AT62" s="44"/>
      <c r="AU62" s="44"/>
      <c r="AV62" s="45"/>
      <c r="AW62" s="46"/>
      <c r="AX62" s="46"/>
      <c r="AY62" s="46"/>
      <c r="AZ62" s="46"/>
      <c r="BA62" s="46"/>
      <c r="BB62" s="46"/>
      <c r="BC62" s="46"/>
    </row>
    <row r="63" ht="15.75" customHeight="1">
      <c r="A63" s="46"/>
      <c r="B63" s="59"/>
      <c r="C63" s="59"/>
      <c r="D63" s="59"/>
      <c r="E63" s="59"/>
      <c r="F63" s="59"/>
      <c r="G63" s="59"/>
      <c r="H63" s="59"/>
      <c r="I63" s="59"/>
      <c r="J63" s="59"/>
      <c r="K63" s="59"/>
      <c r="L63" s="59"/>
      <c r="M63" s="59"/>
      <c r="N63" s="59"/>
      <c r="O63" s="59"/>
      <c r="P63" s="59"/>
      <c r="Q63" s="59"/>
      <c r="R63" s="59"/>
      <c r="S63" s="59"/>
      <c r="T63" s="59"/>
      <c r="U63" s="59"/>
      <c r="V63" s="59"/>
      <c r="W63" s="59"/>
      <c r="X63" s="45"/>
      <c r="Y63" s="45"/>
      <c r="Z63" s="45"/>
      <c r="AA63" s="45"/>
      <c r="AB63" s="45"/>
      <c r="AC63" s="45"/>
      <c r="AD63" s="44"/>
      <c r="AE63" s="44"/>
      <c r="AF63" s="44"/>
      <c r="AG63" s="44"/>
      <c r="AH63" s="44"/>
      <c r="AI63" s="44"/>
      <c r="AJ63" s="44"/>
      <c r="AK63" s="44"/>
      <c r="AL63" s="44"/>
      <c r="AM63" s="44"/>
      <c r="AN63" s="44"/>
      <c r="AO63" s="44"/>
      <c r="AP63" s="44"/>
      <c r="AQ63" s="44"/>
      <c r="AR63" s="44"/>
      <c r="AS63" s="44"/>
      <c r="AT63" s="44"/>
      <c r="AU63" s="44"/>
      <c r="AV63" s="45"/>
      <c r="AW63" s="46"/>
      <c r="AX63" s="46"/>
      <c r="AY63" s="46"/>
      <c r="AZ63" s="46"/>
      <c r="BA63" s="46"/>
      <c r="BB63" s="46"/>
      <c r="BC63" s="46"/>
    </row>
    <row r="64" ht="15.75" customHeight="1">
      <c r="A64" s="46"/>
      <c r="B64" s="59"/>
      <c r="C64" s="59"/>
      <c r="D64" s="59"/>
      <c r="E64" s="46"/>
      <c r="F64" s="46"/>
      <c r="G64" s="46"/>
      <c r="H64" s="46"/>
      <c r="I64" s="46"/>
      <c r="J64" s="46"/>
      <c r="K64" s="46"/>
      <c r="L64" s="46"/>
      <c r="M64" s="46"/>
      <c r="N64" s="46"/>
      <c r="O64" s="46"/>
      <c r="P64" s="46"/>
      <c r="Q64" s="46"/>
      <c r="R64" s="46"/>
      <c r="S64" s="46"/>
      <c r="T64" s="46"/>
      <c r="U64" s="46"/>
      <c r="V64" s="46"/>
      <c r="W64" s="46"/>
      <c r="X64" s="45"/>
      <c r="Y64" s="45"/>
      <c r="Z64" s="45"/>
      <c r="AA64" s="45"/>
      <c r="AB64" s="45"/>
      <c r="AC64" s="45"/>
      <c r="AD64" s="44"/>
      <c r="AE64" s="44"/>
      <c r="AF64" s="44"/>
      <c r="AG64" s="44"/>
      <c r="AH64" s="44"/>
      <c r="AI64" s="44"/>
      <c r="AJ64" s="44"/>
      <c r="AK64" s="44"/>
      <c r="AL64" s="44"/>
      <c r="AM64" s="44"/>
      <c r="AN64" s="44"/>
      <c r="AO64" s="44"/>
      <c r="AP64" s="44"/>
      <c r="AQ64" s="44"/>
      <c r="AR64" s="44"/>
      <c r="AS64" s="44"/>
      <c r="AT64" s="44"/>
      <c r="AU64" s="44"/>
      <c r="AV64" s="45"/>
      <c r="AW64" s="46"/>
      <c r="AX64" s="46"/>
      <c r="AY64" s="46"/>
      <c r="AZ64" s="46"/>
      <c r="BA64" s="46"/>
      <c r="BB64" s="46"/>
      <c r="BC64" s="46"/>
    </row>
    <row r="65" ht="15.75" customHeight="1">
      <c r="A65" s="46"/>
      <c r="B65" s="59"/>
      <c r="C65" s="59"/>
      <c r="D65" s="59"/>
      <c r="E65" s="59"/>
      <c r="F65" s="59"/>
      <c r="G65" s="59"/>
      <c r="H65" s="59"/>
      <c r="I65" s="59"/>
      <c r="J65" s="59"/>
      <c r="K65" s="59"/>
      <c r="L65" s="59"/>
      <c r="M65" s="59"/>
      <c r="N65" s="59"/>
      <c r="O65" s="59"/>
      <c r="P65" s="59"/>
      <c r="Q65" s="59"/>
      <c r="R65" s="59"/>
      <c r="S65" s="59"/>
      <c r="T65" s="59"/>
      <c r="U65" s="59"/>
      <c r="V65" s="59"/>
      <c r="W65" s="59"/>
      <c r="X65" s="45"/>
      <c r="Y65" s="45"/>
      <c r="Z65" s="45"/>
      <c r="AA65" s="45"/>
      <c r="AB65" s="45"/>
      <c r="AC65" s="45"/>
      <c r="AD65" s="44"/>
      <c r="AE65" s="44"/>
      <c r="AF65" s="44"/>
      <c r="AG65" s="44"/>
      <c r="AH65" s="44"/>
      <c r="AI65" s="44"/>
      <c r="AJ65" s="44"/>
      <c r="AK65" s="44"/>
      <c r="AL65" s="44"/>
      <c r="AM65" s="44"/>
      <c r="AN65" s="44"/>
      <c r="AO65" s="44"/>
      <c r="AP65" s="44"/>
      <c r="AQ65" s="44"/>
      <c r="AR65" s="44"/>
      <c r="AS65" s="44"/>
      <c r="AT65" s="44"/>
      <c r="AU65" s="44"/>
      <c r="AV65" s="45"/>
      <c r="AW65" s="46"/>
      <c r="AX65" s="46"/>
      <c r="AY65" s="46"/>
      <c r="AZ65" s="46"/>
      <c r="BA65" s="46"/>
      <c r="BB65" s="46"/>
      <c r="BC65" s="46"/>
    </row>
    <row r="66" ht="15.75" customHeight="1">
      <c r="A66" s="46"/>
      <c r="B66" s="59"/>
      <c r="C66" s="59"/>
      <c r="D66" s="59"/>
      <c r="E66" s="59"/>
      <c r="F66" s="59"/>
      <c r="G66" s="59"/>
      <c r="H66" s="59"/>
      <c r="I66" s="59"/>
      <c r="J66" s="59"/>
      <c r="K66" s="59"/>
      <c r="L66" s="59"/>
      <c r="M66" s="59"/>
      <c r="N66" s="59"/>
      <c r="O66" s="59"/>
      <c r="P66" s="59"/>
      <c r="Q66" s="59"/>
      <c r="R66" s="59"/>
      <c r="S66" s="59"/>
      <c r="T66" s="59"/>
      <c r="U66" s="59"/>
      <c r="V66" s="59"/>
      <c r="W66" s="59"/>
      <c r="X66" s="45"/>
      <c r="Y66" s="45"/>
      <c r="Z66" s="45"/>
      <c r="AA66" s="45"/>
      <c r="AB66" s="45"/>
      <c r="AC66" s="45"/>
      <c r="AD66" s="44"/>
      <c r="AE66" s="44"/>
      <c r="AF66" s="44"/>
      <c r="AG66" s="44"/>
      <c r="AH66" s="44"/>
      <c r="AI66" s="44"/>
      <c r="AJ66" s="44"/>
      <c r="AK66" s="44"/>
      <c r="AL66" s="44"/>
      <c r="AM66" s="44"/>
      <c r="AN66" s="44"/>
      <c r="AO66" s="44"/>
      <c r="AP66" s="44"/>
      <c r="AQ66" s="44"/>
      <c r="AR66" s="44"/>
      <c r="AS66" s="44"/>
      <c r="AT66" s="44"/>
      <c r="AU66" s="44"/>
      <c r="AV66" s="45"/>
      <c r="AW66" s="46"/>
      <c r="AX66" s="46"/>
      <c r="AY66" s="46"/>
      <c r="AZ66" s="46"/>
      <c r="BA66" s="46"/>
      <c r="BB66" s="46"/>
      <c r="BC66" s="46"/>
    </row>
    <row r="67" ht="15.75" customHeight="1">
      <c r="A67" s="46"/>
      <c r="B67" s="59"/>
      <c r="C67" s="59"/>
      <c r="D67" s="59"/>
      <c r="E67" s="59"/>
      <c r="F67" s="59"/>
      <c r="G67" s="59"/>
      <c r="H67" s="59"/>
      <c r="I67" s="59"/>
      <c r="J67" s="59"/>
      <c r="K67" s="59"/>
      <c r="L67" s="59"/>
      <c r="M67" s="59"/>
      <c r="N67" s="46"/>
      <c r="O67" s="46"/>
      <c r="P67" s="46"/>
      <c r="Q67" s="46"/>
      <c r="R67" s="46"/>
      <c r="S67" s="46"/>
      <c r="T67" s="46"/>
      <c r="U67" s="46"/>
      <c r="V67" s="46"/>
      <c r="W67" s="46"/>
      <c r="X67" s="45"/>
      <c r="Y67" s="45"/>
      <c r="Z67" s="45"/>
      <c r="AA67" s="45"/>
      <c r="AB67" s="45"/>
      <c r="AC67" s="45"/>
      <c r="AD67" s="44"/>
      <c r="AE67" s="44"/>
      <c r="AF67" s="44"/>
      <c r="AG67" s="44"/>
      <c r="AH67" s="44"/>
      <c r="AI67" s="44"/>
      <c r="AJ67" s="44"/>
      <c r="AK67" s="44"/>
      <c r="AL67" s="44"/>
      <c r="AM67" s="44"/>
      <c r="AN67" s="44"/>
      <c r="AO67" s="44"/>
      <c r="AP67" s="44"/>
      <c r="AQ67" s="44"/>
      <c r="AR67" s="44"/>
      <c r="AS67" s="44"/>
      <c r="AT67" s="44"/>
      <c r="AU67" s="44"/>
      <c r="AV67" s="45"/>
      <c r="AW67" s="46"/>
      <c r="AX67" s="46"/>
      <c r="AY67" s="46"/>
      <c r="AZ67" s="46"/>
      <c r="BA67" s="46"/>
      <c r="BB67" s="46"/>
      <c r="BC67" s="46"/>
    </row>
    <row r="68" ht="15.75" customHeight="1">
      <c r="A68" s="46"/>
      <c r="B68" s="59"/>
      <c r="C68" s="59"/>
      <c r="D68" s="59"/>
      <c r="E68" s="59"/>
      <c r="F68" s="59"/>
      <c r="G68" s="59"/>
      <c r="H68" s="59"/>
      <c r="I68" s="59"/>
      <c r="J68" s="59"/>
      <c r="K68" s="59"/>
      <c r="L68" s="59"/>
      <c r="M68" s="59"/>
      <c r="N68" s="46"/>
      <c r="O68" s="46"/>
      <c r="P68" s="46"/>
      <c r="Q68" s="46"/>
      <c r="R68" s="46"/>
      <c r="S68" s="46"/>
      <c r="T68" s="46"/>
      <c r="U68" s="46"/>
      <c r="V68" s="46"/>
      <c r="W68" s="46"/>
      <c r="X68" s="45"/>
      <c r="Y68" s="45"/>
      <c r="Z68" s="45"/>
      <c r="AA68" s="45"/>
      <c r="AB68" s="45"/>
      <c r="AC68" s="45"/>
      <c r="AD68" s="44"/>
      <c r="AE68" s="44"/>
      <c r="AF68" s="44"/>
      <c r="AG68" s="44"/>
      <c r="AH68" s="44"/>
      <c r="AI68" s="44"/>
      <c r="AJ68" s="44"/>
      <c r="AK68" s="44"/>
      <c r="AL68" s="44"/>
      <c r="AM68" s="44"/>
      <c r="AN68" s="44"/>
      <c r="AO68" s="44"/>
      <c r="AP68" s="44"/>
      <c r="AQ68" s="44"/>
      <c r="AR68" s="44"/>
      <c r="AS68" s="44"/>
      <c r="AT68" s="44"/>
      <c r="AU68" s="44"/>
      <c r="AV68" s="45"/>
      <c r="AW68" s="46"/>
      <c r="AX68" s="46"/>
      <c r="AY68" s="46"/>
      <c r="AZ68" s="46"/>
      <c r="BA68" s="46"/>
      <c r="BB68" s="46"/>
      <c r="BC68" s="46"/>
    </row>
    <row r="69" ht="15.75" customHeight="1">
      <c r="A69" s="46"/>
      <c r="B69" s="59"/>
      <c r="C69" s="59"/>
      <c r="D69" s="59"/>
      <c r="E69" s="59"/>
      <c r="F69" s="59"/>
      <c r="G69" s="59"/>
      <c r="H69" s="59"/>
      <c r="I69" s="59"/>
      <c r="J69" s="59"/>
      <c r="K69" s="59"/>
      <c r="L69" s="59"/>
      <c r="M69" s="59"/>
      <c r="N69" s="46"/>
      <c r="O69" s="46"/>
      <c r="P69" s="46"/>
      <c r="Q69" s="46"/>
      <c r="R69" s="46"/>
      <c r="S69" s="46"/>
      <c r="T69" s="46"/>
      <c r="U69" s="46"/>
      <c r="V69" s="46"/>
      <c r="W69" s="46"/>
      <c r="X69" s="45"/>
      <c r="Y69" s="45"/>
      <c r="Z69" s="45"/>
      <c r="AA69" s="45"/>
      <c r="AB69" s="45"/>
      <c r="AC69" s="45"/>
      <c r="AD69" s="44"/>
      <c r="AE69" s="44"/>
      <c r="AF69" s="44"/>
      <c r="AG69" s="44"/>
      <c r="AH69" s="44"/>
      <c r="AI69" s="44"/>
      <c r="AJ69" s="44"/>
      <c r="AK69" s="44"/>
      <c r="AL69" s="44"/>
      <c r="AM69" s="44"/>
      <c r="AN69" s="44"/>
      <c r="AO69" s="44"/>
      <c r="AP69" s="44"/>
      <c r="AQ69" s="44"/>
      <c r="AR69" s="44"/>
      <c r="AS69" s="44"/>
      <c r="AT69" s="44"/>
      <c r="AU69" s="44"/>
      <c r="AV69" s="45"/>
      <c r="AW69" s="46"/>
      <c r="AX69" s="46"/>
      <c r="AY69" s="46"/>
      <c r="AZ69" s="46"/>
      <c r="BA69" s="46"/>
      <c r="BB69" s="46"/>
      <c r="BC69" s="46"/>
    </row>
    <row r="70" ht="15.75" customHeight="1">
      <c r="A70" s="46"/>
      <c r="B70" s="59"/>
      <c r="C70" s="59"/>
      <c r="D70" s="59"/>
      <c r="E70" s="59"/>
      <c r="F70" s="59"/>
      <c r="G70" s="59"/>
      <c r="H70" s="59"/>
      <c r="I70" s="59"/>
      <c r="J70" s="59"/>
      <c r="K70" s="59"/>
      <c r="L70" s="59"/>
      <c r="M70" s="59"/>
      <c r="N70" s="46"/>
      <c r="O70" s="46"/>
      <c r="P70" s="46"/>
      <c r="Q70" s="46"/>
      <c r="R70" s="46"/>
      <c r="S70" s="46"/>
      <c r="T70" s="46"/>
      <c r="U70" s="46"/>
      <c r="V70" s="46"/>
      <c r="W70" s="46"/>
      <c r="X70" s="45"/>
      <c r="Y70" s="45"/>
      <c r="Z70" s="45"/>
      <c r="AA70" s="45"/>
      <c r="AB70" s="45"/>
      <c r="AC70" s="45"/>
      <c r="AD70" s="44"/>
      <c r="AE70" s="44"/>
      <c r="AF70" s="44"/>
      <c r="AG70" s="44"/>
      <c r="AH70" s="44"/>
      <c r="AI70" s="44"/>
      <c r="AJ70" s="44"/>
      <c r="AK70" s="44"/>
      <c r="AL70" s="44"/>
      <c r="AM70" s="44"/>
      <c r="AN70" s="44"/>
      <c r="AO70" s="44"/>
      <c r="AP70" s="44"/>
      <c r="AQ70" s="44"/>
      <c r="AR70" s="44"/>
      <c r="AS70" s="44"/>
      <c r="AT70" s="44"/>
      <c r="AU70" s="44"/>
      <c r="AV70" s="45"/>
      <c r="AW70" s="46"/>
      <c r="AX70" s="46"/>
      <c r="AY70" s="46"/>
      <c r="AZ70" s="46"/>
      <c r="BA70" s="46"/>
      <c r="BB70" s="46"/>
      <c r="BC70" s="46"/>
    </row>
    <row r="71" ht="15.75" customHeight="1">
      <c r="A71" s="46"/>
      <c r="B71" s="59"/>
      <c r="C71" s="59"/>
      <c r="D71" s="59"/>
      <c r="E71" s="59"/>
      <c r="F71" s="59"/>
      <c r="G71" s="59"/>
      <c r="H71" s="59"/>
      <c r="I71" s="59"/>
      <c r="J71" s="59"/>
      <c r="K71" s="59"/>
      <c r="L71" s="59"/>
      <c r="M71" s="59"/>
      <c r="N71" s="46"/>
      <c r="O71" s="46"/>
      <c r="P71" s="46"/>
      <c r="Q71" s="46"/>
      <c r="R71" s="46"/>
      <c r="S71" s="46"/>
      <c r="T71" s="46"/>
      <c r="U71" s="46"/>
      <c r="V71" s="46"/>
      <c r="W71" s="46"/>
      <c r="X71" s="45"/>
      <c r="Y71" s="45"/>
      <c r="Z71" s="45"/>
      <c r="AA71" s="45"/>
      <c r="AB71" s="45"/>
      <c r="AC71" s="45"/>
      <c r="AD71" s="44"/>
      <c r="AE71" s="44"/>
      <c r="AF71" s="44"/>
      <c r="AG71" s="44"/>
      <c r="AH71" s="44"/>
      <c r="AI71" s="44"/>
      <c r="AJ71" s="44"/>
      <c r="AK71" s="44"/>
      <c r="AL71" s="44"/>
      <c r="AM71" s="44"/>
      <c r="AN71" s="44"/>
      <c r="AO71" s="44"/>
      <c r="AP71" s="44"/>
      <c r="AQ71" s="44"/>
      <c r="AR71" s="44"/>
      <c r="AS71" s="44"/>
      <c r="AT71" s="44"/>
      <c r="AU71" s="44"/>
      <c r="AV71" s="45"/>
      <c r="AW71" s="46"/>
      <c r="AX71" s="46"/>
      <c r="AY71" s="46"/>
      <c r="AZ71" s="46"/>
      <c r="BA71" s="46"/>
      <c r="BB71" s="46"/>
      <c r="BC71" s="46"/>
    </row>
    <row r="72" ht="15.75" customHeight="1">
      <c r="A72" s="46"/>
      <c r="B72" s="59"/>
      <c r="C72" s="59"/>
      <c r="D72" s="59"/>
      <c r="E72" s="59"/>
      <c r="F72" s="59"/>
      <c r="G72" s="59"/>
      <c r="H72" s="59"/>
      <c r="I72" s="59"/>
      <c r="J72" s="59"/>
      <c r="K72" s="59"/>
      <c r="L72" s="59"/>
      <c r="M72" s="59"/>
      <c r="N72" s="59"/>
      <c r="O72" s="59"/>
      <c r="P72" s="59"/>
      <c r="Q72" s="59"/>
      <c r="R72" s="59"/>
      <c r="S72" s="59"/>
      <c r="T72" s="59"/>
      <c r="U72" s="59"/>
      <c r="V72" s="59"/>
      <c r="W72" s="59"/>
      <c r="X72" s="45"/>
      <c r="Y72" s="45"/>
      <c r="Z72" s="45"/>
      <c r="AA72" s="45"/>
      <c r="AB72" s="45"/>
      <c r="AC72" s="45"/>
      <c r="AD72" s="44"/>
      <c r="AE72" s="44"/>
      <c r="AF72" s="44"/>
      <c r="AG72" s="44"/>
      <c r="AH72" s="44"/>
      <c r="AI72" s="44"/>
      <c r="AJ72" s="44"/>
      <c r="AK72" s="44"/>
      <c r="AL72" s="44"/>
      <c r="AM72" s="44"/>
      <c r="AN72" s="44"/>
      <c r="AO72" s="44"/>
      <c r="AP72" s="44"/>
      <c r="AQ72" s="44"/>
      <c r="AR72" s="44"/>
      <c r="AS72" s="44"/>
      <c r="AT72" s="44"/>
      <c r="AU72" s="44"/>
      <c r="AV72" s="45"/>
      <c r="AW72" s="46"/>
      <c r="AX72" s="46"/>
      <c r="AY72" s="46"/>
      <c r="AZ72" s="46"/>
      <c r="BA72" s="46"/>
      <c r="BB72" s="46"/>
      <c r="BC72" s="46"/>
    </row>
    <row r="73" ht="15.75" customHeight="1">
      <c r="A73" s="46"/>
      <c r="B73" s="59"/>
      <c r="C73" s="59"/>
      <c r="D73" s="59"/>
      <c r="E73" s="59"/>
      <c r="F73" s="59"/>
      <c r="G73" s="59"/>
      <c r="H73" s="59"/>
      <c r="I73" s="59"/>
      <c r="J73" s="59"/>
      <c r="K73" s="59"/>
      <c r="L73" s="59"/>
      <c r="M73" s="59"/>
      <c r="N73" s="59"/>
      <c r="O73" s="59"/>
      <c r="P73" s="59"/>
      <c r="Q73" s="59"/>
      <c r="R73" s="59"/>
      <c r="S73" s="59"/>
      <c r="T73" s="59"/>
      <c r="U73" s="59"/>
      <c r="V73" s="59"/>
      <c r="W73" s="59"/>
      <c r="X73" s="45"/>
      <c r="Y73" s="45"/>
      <c r="Z73" s="45"/>
      <c r="AA73" s="45"/>
      <c r="AB73" s="45"/>
      <c r="AC73" s="45"/>
      <c r="AD73" s="44"/>
      <c r="AE73" s="44"/>
      <c r="AF73" s="44"/>
      <c r="AG73" s="44"/>
      <c r="AH73" s="44"/>
      <c r="AI73" s="44"/>
      <c r="AJ73" s="44"/>
      <c r="AK73" s="44"/>
      <c r="AL73" s="44"/>
      <c r="AM73" s="44"/>
      <c r="AN73" s="44"/>
      <c r="AO73" s="44"/>
      <c r="AP73" s="44"/>
      <c r="AQ73" s="44"/>
      <c r="AR73" s="44"/>
      <c r="AS73" s="44"/>
      <c r="AT73" s="44"/>
      <c r="AU73" s="44"/>
      <c r="AV73" s="45"/>
      <c r="AW73" s="46"/>
      <c r="AX73" s="46"/>
      <c r="AY73" s="46"/>
      <c r="AZ73" s="46"/>
      <c r="BA73" s="46"/>
      <c r="BB73" s="46"/>
      <c r="BC73" s="46"/>
    </row>
    <row r="74" ht="15.75" customHeight="1">
      <c r="A74" s="46"/>
      <c r="B74" s="59"/>
      <c r="C74" s="59"/>
      <c r="D74" s="59"/>
      <c r="E74" s="59"/>
      <c r="F74" s="59"/>
      <c r="G74" s="59"/>
      <c r="H74" s="59"/>
      <c r="I74" s="59"/>
      <c r="J74" s="59"/>
      <c r="K74" s="59"/>
      <c r="L74" s="59"/>
      <c r="M74" s="59"/>
      <c r="N74" s="59"/>
      <c r="O74" s="59"/>
      <c r="P74" s="59"/>
      <c r="Q74" s="59"/>
      <c r="R74" s="59"/>
      <c r="S74" s="59"/>
      <c r="T74" s="59"/>
      <c r="U74" s="59"/>
      <c r="V74" s="59"/>
      <c r="W74" s="59"/>
      <c r="X74" s="45"/>
      <c r="Y74" s="45"/>
      <c r="Z74" s="45"/>
      <c r="AA74" s="45"/>
      <c r="AB74" s="45"/>
      <c r="AC74" s="45"/>
      <c r="AD74" s="44"/>
      <c r="AE74" s="44"/>
      <c r="AF74" s="44"/>
      <c r="AG74" s="44"/>
      <c r="AH74" s="44"/>
      <c r="AI74" s="44"/>
      <c r="AJ74" s="44"/>
      <c r="AK74" s="44"/>
      <c r="AL74" s="44"/>
      <c r="AM74" s="44"/>
      <c r="AN74" s="44"/>
      <c r="AO74" s="44"/>
      <c r="AP74" s="44"/>
      <c r="AQ74" s="44"/>
      <c r="AR74" s="44"/>
      <c r="AS74" s="44"/>
      <c r="AT74" s="44"/>
      <c r="AU74" s="44"/>
      <c r="AV74" s="45"/>
      <c r="AW74" s="46"/>
      <c r="AX74" s="46"/>
      <c r="AY74" s="46"/>
      <c r="AZ74" s="46"/>
      <c r="BA74" s="46"/>
      <c r="BB74" s="46"/>
      <c r="BC74" s="46"/>
    </row>
    <row r="75" ht="15.75" customHeight="1">
      <c r="A75" s="46"/>
      <c r="B75" s="59"/>
      <c r="C75" s="59"/>
      <c r="D75" s="59"/>
      <c r="E75" s="59"/>
      <c r="F75" s="59"/>
      <c r="G75" s="59"/>
      <c r="H75" s="59"/>
      <c r="I75" s="59"/>
      <c r="J75" s="59"/>
      <c r="K75" s="59"/>
      <c r="L75" s="59"/>
      <c r="M75" s="59"/>
      <c r="N75" s="59"/>
      <c r="O75" s="59"/>
      <c r="P75" s="59"/>
      <c r="Q75" s="59"/>
      <c r="R75" s="59"/>
      <c r="S75" s="59"/>
      <c r="T75" s="59"/>
      <c r="U75" s="59"/>
      <c r="V75" s="59"/>
      <c r="W75" s="59"/>
      <c r="X75" s="45"/>
      <c r="Y75" s="45"/>
      <c r="Z75" s="45"/>
      <c r="AA75" s="45"/>
      <c r="AB75" s="45"/>
      <c r="AC75" s="45"/>
      <c r="AD75" s="44"/>
      <c r="AE75" s="44"/>
      <c r="AF75" s="44"/>
      <c r="AG75" s="44"/>
      <c r="AH75" s="44"/>
      <c r="AI75" s="44"/>
      <c r="AJ75" s="44"/>
      <c r="AK75" s="44"/>
      <c r="AL75" s="44"/>
      <c r="AM75" s="44"/>
      <c r="AN75" s="44"/>
      <c r="AO75" s="44"/>
      <c r="AP75" s="44"/>
      <c r="AQ75" s="44"/>
      <c r="AR75" s="44"/>
      <c r="AS75" s="44"/>
      <c r="AT75" s="44"/>
      <c r="AU75" s="44"/>
      <c r="AV75" s="45"/>
      <c r="AW75" s="46"/>
      <c r="AX75" s="46"/>
      <c r="AY75" s="46"/>
      <c r="AZ75" s="46"/>
      <c r="BA75" s="46"/>
      <c r="BB75" s="46"/>
      <c r="BC75" s="46"/>
    </row>
    <row r="76" ht="15.75" customHeight="1">
      <c r="A76" s="46"/>
      <c r="B76" s="59"/>
      <c r="C76" s="59"/>
      <c r="D76" s="59"/>
      <c r="E76" s="59"/>
      <c r="F76" s="59"/>
      <c r="G76" s="59"/>
      <c r="H76" s="59"/>
      <c r="I76" s="59"/>
      <c r="J76" s="59"/>
      <c r="K76" s="59"/>
      <c r="L76" s="59"/>
      <c r="M76" s="59"/>
      <c r="N76" s="59"/>
      <c r="O76" s="59"/>
      <c r="P76" s="59"/>
      <c r="Q76" s="59"/>
      <c r="R76" s="59"/>
      <c r="S76" s="59"/>
      <c r="T76" s="59"/>
      <c r="U76" s="59"/>
      <c r="V76" s="59"/>
      <c r="W76" s="59"/>
      <c r="X76" s="45"/>
      <c r="Y76" s="45"/>
      <c r="Z76" s="45"/>
      <c r="AA76" s="45"/>
      <c r="AB76" s="45"/>
      <c r="AC76" s="45"/>
      <c r="AD76" s="44"/>
      <c r="AE76" s="44"/>
      <c r="AF76" s="44"/>
      <c r="AG76" s="44"/>
      <c r="AH76" s="44"/>
      <c r="AI76" s="44"/>
      <c r="AJ76" s="44"/>
      <c r="AK76" s="44"/>
      <c r="AL76" s="44"/>
      <c r="AM76" s="44"/>
      <c r="AN76" s="44"/>
      <c r="AO76" s="44"/>
      <c r="AP76" s="44"/>
      <c r="AQ76" s="44"/>
      <c r="AR76" s="44"/>
      <c r="AS76" s="44"/>
      <c r="AT76" s="44"/>
      <c r="AU76" s="44"/>
      <c r="AV76" s="45"/>
      <c r="AW76" s="46"/>
      <c r="AX76" s="46"/>
      <c r="AY76" s="46"/>
      <c r="AZ76" s="46"/>
      <c r="BA76" s="46"/>
      <c r="BB76" s="46"/>
      <c r="BC76" s="46"/>
    </row>
    <row r="77" ht="15.75" customHeight="1">
      <c r="A77" s="46"/>
      <c r="B77" s="59"/>
      <c r="C77" s="59"/>
      <c r="D77" s="59"/>
      <c r="E77" s="59"/>
      <c r="F77" s="59"/>
      <c r="G77" s="59"/>
      <c r="H77" s="59"/>
      <c r="I77" s="59"/>
      <c r="J77" s="59"/>
      <c r="K77" s="59"/>
      <c r="L77" s="59"/>
      <c r="M77" s="59"/>
      <c r="N77" s="59"/>
      <c r="O77" s="59"/>
      <c r="P77" s="59"/>
      <c r="Q77" s="59"/>
      <c r="R77" s="59"/>
      <c r="S77" s="59"/>
      <c r="T77" s="59"/>
      <c r="U77" s="59"/>
      <c r="V77" s="59"/>
      <c r="W77" s="59"/>
      <c r="X77" s="45"/>
      <c r="Y77" s="45"/>
      <c r="Z77" s="45"/>
      <c r="AA77" s="45"/>
      <c r="AB77" s="45"/>
      <c r="AC77" s="45"/>
      <c r="AD77" s="44"/>
      <c r="AE77" s="44"/>
      <c r="AF77" s="44"/>
      <c r="AG77" s="44"/>
      <c r="AH77" s="44"/>
      <c r="AI77" s="44"/>
      <c r="AJ77" s="44"/>
      <c r="AK77" s="44"/>
      <c r="AL77" s="44"/>
      <c r="AM77" s="44"/>
      <c r="AN77" s="44"/>
      <c r="AO77" s="44"/>
      <c r="AP77" s="44"/>
      <c r="AQ77" s="44"/>
      <c r="AR77" s="44"/>
      <c r="AS77" s="44"/>
      <c r="AT77" s="44"/>
      <c r="AU77" s="44"/>
      <c r="AV77" s="45"/>
      <c r="AW77" s="46"/>
      <c r="AX77" s="46"/>
      <c r="AY77" s="46"/>
      <c r="AZ77" s="46"/>
      <c r="BA77" s="46"/>
      <c r="BB77" s="46"/>
      <c r="BC77" s="46"/>
    </row>
    <row r="78" ht="15.75" customHeight="1">
      <c r="A78" s="46"/>
      <c r="B78" s="59"/>
      <c r="C78" s="59"/>
      <c r="D78" s="59"/>
      <c r="E78" s="59"/>
      <c r="F78" s="59"/>
      <c r="G78" s="59"/>
      <c r="H78" s="59"/>
      <c r="I78" s="59"/>
      <c r="J78" s="59"/>
      <c r="K78" s="59"/>
      <c r="L78" s="59"/>
      <c r="M78" s="59"/>
      <c r="N78" s="59"/>
      <c r="O78" s="59"/>
      <c r="P78" s="59"/>
      <c r="Q78" s="59"/>
      <c r="R78" s="59"/>
      <c r="S78" s="59"/>
      <c r="T78" s="59"/>
      <c r="U78" s="59"/>
      <c r="V78" s="59"/>
      <c r="W78" s="59"/>
      <c r="X78" s="45"/>
      <c r="Y78" s="45"/>
      <c r="Z78" s="45"/>
      <c r="AA78" s="45"/>
      <c r="AB78" s="45"/>
      <c r="AC78" s="45"/>
      <c r="AD78" s="44"/>
      <c r="AE78" s="44"/>
      <c r="AF78" s="44"/>
      <c r="AG78" s="44"/>
      <c r="AH78" s="44"/>
      <c r="AI78" s="44"/>
      <c r="AJ78" s="44"/>
      <c r="AK78" s="44"/>
      <c r="AL78" s="44"/>
      <c r="AM78" s="44"/>
      <c r="AN78" s="44"/>
      <c r="AO78" s="44"/>
      <c r="AP78" s="44"/>
      <c r="AQ78" s="44"/>
      <c r="AR78" s="44"/>
      <c r="AS78" s="44"/>
      <c r="AT78" s="44"/>
      <c r="AU78" s="44"/>
      <c r="AV78" s="45"/>
      <c r="AW78" s="46"/>
      <c r="AX78" s="46"/>
      <c r="AY78" s="46"/>
      <c r="AZ78" s="46"/>
      <c r="BA78" s="46"/>
      <c r="BB78" s="46"/>
      <c r="BC78" s="46"/>
    </row>
    <row r="79" ht="15.75" customHeight="1">
      <c r="A79" s="46"/>
      <c r="B79" s="59"/>
      <c r="C79" s="59"/>
      <c r="D79" s="59"/>
      <c r="E79" s="59"/>
      <c r="F79" s="59"/>
      <c r="G79" s="59"/>
      <c r="H79" s="59"/>
      <c r="I79" s="59"/>
      <c r="J79" s="59"/>
      <c r="K79" s="59"/>
      <c r="L79" s="59"/>
      <c r="M79" s="59"/>
      <c r="N79" s="59"/>
      <c r="O79" s="59"/>
      <c r="P79" s="59"/>
      <c r="Q79" s="59"/>
      <c r="R79" s="59"/>
      <c r="S79" s="59"/>
      <c r="T79" s="59"/>
      <c r="U79" s="59"/>
      <c r="V79" s="59"/>
      <c r="W79" s="59"/>
      <c r="X79" s="45"/>
      <c r="Y79" s="45"/>
      <c r="Z79" s="45"/>
      <c r="AA79" s="45"/>
      <c r="AB79" s="45"/>
      <c r="AC79" s="45"/>
      <c r="AD79" s="44"/>
      <c r="AE79" s="44"/>
      <c r="AF79" s="44"/>
      <c r="AG79" s="44"/>
      <c r="AH79" s="44"/>
      <c r="AI79" s="44"/>
      <c r="AJ79" s="44"/>
      <c r="AK79" s="44"/>
      <c r="AL79" s="44"/>
      <c r="AM79" s="44"/>
      <c r="AN79" s="44"/>
      <c r="AO79" s="44"/>
      <c r="AP79" s="44"/>
      <c r="AQ79" s="44"/>
      <c r="AR79" s="44"/>
      <c r="AS79" s="44"/>
      <c r="AT79" s="44"/>
      <c r="AU79" s="44"/>
      <c r="AV79" s="45"/>
      <c r="AW79" s="46"/>
      <c r="AX79" s="46"/>
      <c r="AY79" s="46"/>
      <c r="AZ79" s="46"/>
      <c r="BA79" s="46"/>
      <c r="BB79" s="46"/>
      <c r="BC79" s="46"/>
    </row>
    <row r="80" ht="15.75" customHeight="1">
      <c r="A80" s="46"/>
      <c r="B80" s="59"/>
      <c r="C80" s="59"/>
      <c r="D80" s="59"/>
      <c r="E80" s="59"/>
      <c r="F80" s="59"/>
      <c r="G80" s="59"/>
      <c r="H80" s="59"/>
      <c r="I80" s="59"/>
      <c r="J80" s="59"/>
      <c r="K80" s="59"/>
      <c r="L80" s="59"/>
      <c r="M80" s="59"/>
      <c r="N80" s="59"/>
      <c r="O80" s="59"/>
      <c r="P80" s="59"/>
      <c r="Q80" s="59"/>
      <c r="R80" s="59"/>
      <c r="S80" s="59"/>
      <c r="T80" s="59"/>
      <c r="U80" s="59"/>
      <c r="V80" s="59"/>
      <c r="W80" s="59"/>
      <c r="X80" s="45"/>
      <c r="Y80" s="45"/>
      <c r="Z80" s="45"/>
      <c r="AA80" s="45"/>
      <c r="AB80" s="45"/>
      <c r="AC80" s="45"/>
      <c r="AD80" s="44"/>
      <c r="AE80" s="44"/>
      <c r="AF80" s="44"/>
      <c r="AG80" s="44"/>
      <c r="AH80" s="44"/>
      <c r="AI80" s="44"/>
      <c r="AJ80" s="44"/>
      <c r="AK80" s="44"/>
      <c r="AL80" s="44"/>
      <c r="AM80" s="44"/>
      <c r="AN80" s="44"/>
      <c r="AO80" s="44"/>
      <c r="AP80" s="44"/>
      <c r="AQ80" s="44"/>
      <c r="AR80" s="44"/>
      <c r="AS80" s="44"/>
      <c r="AT80" s="44"/>
      <c r="AU80" s="44"/>
      <c r="AV80" s="45"/>
      <c r="AW80" s="46"/>
      <c r="AX80" s="46"/>
      <c r="AY80" s="46"/>
      <c r="AZ80" s="46"/>
      <c r="BA80" s="46"/>
      <c r="BB80" s="46"/>
      <c r="BC80" s="46"/>
    </row>
    <row r="81" ht="15.75" customHeight="1">
      <c r="A81" s="46"/>
      <c r="B81" s="59"/>
      <c r="C81" s="59"/>
      <c r="D81" s="59"/>
      <c r="E81" s="59"/>
      <c r="F81" s="59"/>
      <c r="G81" s="59"/>
      <c r="H81" s="59"/>
      <c r="I81" s="59"/>
      <c r="J81" s="59"/>
      <c r="K81" s="59"/>
      <c r="L81" s="59"/>
      <c r="M81" s="59"/>
      <c r="N81" s="59"/>
      <c r="O81" s="59"/>
      <c r="P81" s="59"/>
      <c r="Q81" s="59"/>
      <c r="R81" s="59"/>
      <c r="S81" s="59"/>
      <c r="T81" s="59"/>
      <c r="U81" s="59"/>
      <c r="V81" s="59"/>
      <c r="W81" s="59"/>
      <c r="X81" s="45"/>
      <c r="Y81" s="45"/>
      <c r="Z81" s="45"/>
      <c r="AA81" s="45"/>
      <c r="AB81" s="45"/>
      <c r="AC81" s="45"/>
      <c r="AD81" s="44"/>
      <c r="AE81" s="44"/>
      <c r="AF81" s="44"/>
      <c r="AG81" s="44"/>
      <c r="AH81" s="44"/>
      <c r="AI81" s="44"/>
      <c r="AJ81" s="44"/>
      <c r="AK81" s="44"/>
      <c r="AL81" s="44"/>
      <c r="AM81" s="44"/>
      <c r="AN81" s="44"/>
      <c r="AO81" s="44"/>
      <c r="AP81" s="44"/>
      <c r="AQ81" s="44"/>
      <c r="AR81" s="44"/>
      <c r="AS81" s="44"/>
      <c r="AT81" s="44"/>
      <c r="AU81" s="44"/>
      <c r="AV81" s="45"/>
      <c r="AW81" s="46"/>
      <c r="AX81" s="46"/>
      <c r="AY81" s="46"/>
      <c r="AZ81" s="46"/>
      <c r="BA81" s="46"/>
      <c r="BB81" s="46"/>
      <c r="BC81" s="46"/>
    </row>
    <row r="82" ht="15.75" customHeight="1">
      <c r="A82" s="46"/>
      <c r="B82" s="59"/>
      <c r="C82" s="59"/>
      <c r="D82" s="59"/>
      <c r="E82" s="59"/>
      <c r="F82" s="59"/>
      <c r="G82" s="59"/>
      <c r="H82" s="59"/>
      <c r="I82" s="59"/>
      <c r="J82" s="59"/>
      <c r="K82" s="59"/>
      <c r="L82" s="59"/>
      <c r="M82" s="59"/>
      <c r="N82" s="59"/>
      <c r="O82" s="59"/>
      <c r="P82" s="59"/>
      <c r="Q82" s="59"/>
      <c r="R82" s="59"/>
      <c r="S82" s="59"/>
      <c r="T82" s="59"/>
      <c r="U82" s="59"/>
      <c r="V82" s="59"/>
      <c r="W82" s="59"/>
      <c r="X82" s="45"/>
      <c r="Y82" s="45"/>
      <c r="Z82" s="45"/>
      <c r="AA82" s="45"/>
      <c r="AB82" s="45"/>
      <c r="AC82" s="45"/>
      <c r="AD82" s="44"/>
      <c r="AE82" s="44"/>
      <c r="AF82" s="44"/>
      <c r="AG82" s="44"/>
      <c r="AH82" s="44"/>
      <c r="AI82" s="44"/>
      <c r="AJ82" s="44"/>
      <c r="AK82" s="44"/>
      <c r="AL82" s="44"/>
      <c r="AM82" s="44"/>
      <c r="AN82" s="44"/>
      <c r="AO82" s="44"/>
      <c r="AP82" s="44"/>
      <c r="AQ82" s="44"/>
      <c r="AR82" s="44"/>
      <c r="AS82" s="44"/>
      <c r="AT82" s="44"/>
      <c r="AU82" s="44"/>
      <c r="AV82" s="45"/>
      <c r="AW82" s="46"/>
      <c r="AX82" s="46"/>
      <c r="AY82" s="46"/>
      <c r="AZ82" s="46"/>
      <c r="BA82" s="46"/>
      <c r="BB82" s="46"/>
      <c r="BC82" s="46"/>
    </row>
    <row r="83" ht="15.75" customHeight="1">
      <c r="A83" s="46"/>
      <c r="B83" s="59"/>
      <c r="C83" s="59"/>
      <c r="D83" s="59"/>
      <c r="E83" s="59"/>
      <c r="F83" s="59"/>
      <c r="G83" s="59"/>
      <c r="H83" s="59"/>
      <c r="I83" s="59"/>
      <c r="J83" s="59"/>
      <c r="K83" s="59"/>
      <c r="L83" s="59"/>
      <c r="M83" s="59"/>
      <c r="N83" s="59"/>
      <c r="O83" s="59"/>
      <c r="P83" s="59"/>
      <c r="Q83" s="59"/>
      <c r="R83" s="59"/>
      <c r="S83" s="59"/>
      <c r="T83" s="59"/>
      <c r="U83" s="59"/>
      <c r="V83" s="59"/>
      <c r="W83" s="59"/>
      <c r="X83" s="45"/>
      <c r="Y83" s="45"/>
      <c r="Z83" s="45"/>
      <c r="AA83" s="45"/>
      <c r="AB83" s="45"/>
      <c r="AC83" s="45"/>
      <c r="AD83" s="44"/>
      <c r="AE83" s="44"/>
      <c r="AF83" s="44"/>
      <c r="AG83" s="44"/>
      <c r="AH83" s="44"/>
      <c r="AI83" s="44"/>
      <c r="AJ83" s="44"/>
      <c r="AK83" s="44"/>
      <c r="AL83" s="44"/>
      <c r="AM83" s="44"/>
      <c r="AN83" s="44"/>
      <c r="AO83" s="44"/>
      <c r="AP83" s="44"/>
      <c r="AQ83" s="44"/>
      <c r="AR83" s="44"/>
      <c r="AS83" s="44"/>
      <c r="AT83" s="44"/>
      <c r="AU83" s="44"/>
      <c r="AV83" s="45"/>
      <c r="AW83" s="46"/>
      <c r="AX83" s="46"/>
      <c r="AY83" s="46"/>
      <c r="AZ83" s="46"/>
      <c r="BA83" s="46"/>
      <c r="BB83" s="46"/>
      <c r="BC83" s="46"/>
    </row>
    <row r="84" ht="15.75" customHeight="1">
      <c r="A84" s="46"/>
      <c r="B84" s="59"/>
      <c r="C84" s="59"/>
      <c r="D84" s="59"/>
      <c r="E84" s="59"/>
      <c r="F84" s="59"/>
      <c r="G84" s="59"/>
      <c r="H84" s="59"/>
      <c r="I84" s="59"/>
      <c r="J84" s="59"/>
      <c r="K84" s="59"/>
      <c r="L84" s="59"/>
      <c r="M84" s="59"/>
      <c r="N84" s="59"/>
      <c r="O84" s="59"/>
      <c r="P84" s="59"/>
      <c r="Q84" s="59"/>
      <c r="R84" s="59"/>
      <c r="S84" s="59"/>
      <c r="T84" s="59"/>
      <c r="U84" s="59"/>
      <c r="V84" s="59"/>
      <c r="W84" s="59"/>
      <c r="X84" s="45"/>
      <c r="Y84" s="45"/>
      <c r="Z84" s="45"/>
      <c r="AA84" s="45"/>
      <c r="AB84" s="45"/>
      <c r="AC84" s="45"/>
      <c r="AD84" s="44"/>
      <c r="AE84" s="44"/>
      <c r="AF84" s="44"/>
      <c r="AG84" s="44"/>
      <c r="AH84" s="44"/>
      <c r="AI84" s="44"/>
      <c r="AJ84" s="44"/>
      <c r="AK84" s="44"/>
      <c r="AL84" s="44"/>
      <c r="AM84" s="44"/>
      <c r="AN84" s="44"/>
      <c r="AO84" s="44"/>
      <c r="AP84" s="44"/>
      <c r="AQ84" s="44"/>
      <c r="AR84" s="44"/>
      <c r="AS84" s="44"/>
      <c r="AT84" s="44"/>
      <c r="AU84" s="44"/>
      <c r="AV84" s="45"/>
      <c r="AW84" s="46"/>
      <c r="AX84" s="46"/>
      <c r="AY84" s="46"/>
      <c r="AZ84" s="46"/>
      <c r="BA84" s="46"/>
      <c r="BB84" s="46"/>
      <c r="BC84" s="46"/>
    </row>
    <row r="85" ht="15.75" customHeight="1">
      <c r="A85" s="46"/>
      <c r="B85" s="59"/>
      <c r="C85" s="59"/>
      <c r="D85" s="59"/>
      <c r="E85" s="59"/>
      <c r="F85" s="59"/>
      <c r="G85" s="59"/>
      <c r="H85" s="59"/>
      <c r="I85" s="59"/>
      <c r="J85" s="59"/>
      <c r="K85" s="59"/>
      <c r="L85" s="59"/>
      <c r="M85" s="59"/>
      <c r="N85" s="59"/>
      <c r="O85" s="59"/>
      <c r="P85" s="59"/>
      <c r="Q85" s="59"/>
      <c r="R85" s="59"/>
      <c r="S85" s="59"/>
      <c r="T85" s="59"/>
      <c r="U85" s="59"/>
      <c r="V85" s="59"/>
      <c r="W85" s="59"/>
      <c r="X85" s="45"/>
      <c r="Y85" s="45"/>
      <c r="Z85" s="45"/>
      <c r="AA85" s="45"/>
      <c r="AB85" s="45"/>
      <c r="AC85" s="45"/>
      <c r="AD85" s="44"/>
      <c r="AE85" s="44"/>
      <c r="AF85" s="44"/>
      <c r="AG85" s="44"/>
      <c r="AH85" s="44"/>
      <c r="AI85" s="44"/>
      <c r="AJ85" s="44"/>
      <c r="AK85" s="44"/>
      <c r="AL85" s="44"/>
      <c r="AM85" s="44"/>
      <c r="AN85" s="44"/>
      <c r="AO85" s="44"/>
      <c r="AP85" s="44"/>
      <c r="AQ85" s="44"/>
      <c r="AR85" s="44"/>
      <c r="AS85" s="44"/>
      <c r="AT85" s="44"/>
      <c r="AU85" s="44"/>
      <c r="AV85" s="45"/>
      <c r="AW85" s="46"/>
      <c r="AX85" s="46"/>
      <c r="AY85" s="46"/>
      <c r="AZ85" s="46"/>
      <c r="BA85" s="46"/>
      <c r="BB85" s="46"/>
      <c r="BC85" s="46"/>
    </row>
    <row r="86" ht="15.75" customHeight="1">
      <c r="A86" s="46"/>
      <c r="B86" s="59"/>
      <c r="C86" s="59"/>
      <c r="D86" s="59"/>
      <c r="E86" s="59"/>
      <c r="F86" s="59"/>
      <c r="G86" s="59"/>
      <c r="H86" s="59"/>
      <c r="I86" s="59"/>
      <c r="J86" s="59"/>
      <c r="K86" s="59"/>
      <c r="L86" s="59"/>
      <c r="M86" s="59"/>
      <c r="N86" s="59"/>
      <c r="O86" s="59"/>
      <c r="P86" s="59"/>
      <c r="Q86" s="59"/>
      <c r="R86" s="59"/>
      <c r="S86" s="59"/>
      <c r="T86" s="59"/>
      <c r="U86" s="59"/>
      <c r="V86" s="59"/>
      <c r="W86" s="59"/>
      <c r="X86" s="45"/>
      <c r="Y86" s="45"/>
      <c r="Z86" s="45"/>
      <c r="AA86" s="45"/>
      <c r="AB86" s="45"/>
      <c r="AC86" s="45"/>
      <c r="AD86" s="44"/>
      <c r="AE86" s="44"/>
      <c r="AF86" s="44"/>
      <c r="AG86" s="44"/>
      <c r="AH86" s="44"/>
      <c r="AI86" s="44"/>
      <c r="AJ86" s="44"/>
      <c r="AK86" s="44"/>
      <c r="AL86" s="44"/>
      <c r="AM86" s="44"/>
      <c r="AN86" s="44"/>
      <c r="AO86" s="44"/>
      <c r="AP86" s="44"/>
      <c r="AQ86" s="44"/>
      <c r="AR86" s="44"/>
      <c r="AS86" s="44"/>
      <c r="AT86" s="44"/>
      <c r="AU86" s="44"/>
      <c r="AV86" s="45"/>
      <c r="AW86" s="46"/>
      <c r="AX86" s="46"/>
      <c r="AY86" s="46"/>
      <c r="AZ86" s="46"/>
      <c r="BA86" s="46"/>
      <c r="BB86" s="46"/>
      <c r="BC86" s="46"/>
    </row>
    <row r="87" ht="15.75" customHeight="1">
      <c r="A87" s="46"/>
      <c r="B87" s="59"/>
      <c r="C87" s="59"/>
      <c r="D87" s="59"/>
      <c r="E87" s="59"/>
      <c r="F87" s="59"/>
      <c r="G87" s="59"/>
      <c r="H87" s="59"/>
      <c r="I87" s="59"/>
      <c r="J87" s="59"/>
      <c r="K87" s="59"/>
      <c r="L87" s="59"/>
      <c r="M87" s="59"/>
      <c r="N87" s="59"/>
      <c r="O87" s="59"/>
      <c r="P87" s="59"/>
      <c r="Q87" s="59"/>
      <c r="R87" s="59"/>
      <c r="S87" s="59"/>
      <c r="T87" s="59"/>
      <c r="U87" s="59"/>
      <c r="V87" s="59"/>
      <c r="W87" s="59"/>
      <c r="X87" s="45"/>
      <c r="Y87" s="45"/>
      <c r="Z87" s="45"/>
      <c r="AA87" s="45"/>
      <c r="AB87" s="45"/>
      <c r="AC87" s="45"/>
      <c r="AD87" s="44"/>
      <c r="AE87" s="44"/>
      <c r="AF87" s="44"/>
      <c r="AG87" s="44"/>
      <c r="AH87" s="44"/>
      <c r="AI87" s="44"/>
      <c r="AJ87" s="44"/>
      <c r="AK87" s="44"/>
      <c r="AL87" s="44"/>
      <c r="AM87" s="44"/>
      <c r="AN87" s="44"/>
      <c r="AO87" s="44"/>
      <c r="AP87" s="44"/>
      <c r="AQ87" s="44"/>
      <c r="AR87" s="44"/>
      <c r="AS87" s="44"/>
      <c r="AT87" s="44"/>
      <c r="AU87" s="44"/>
      <c r="AV87" s="45"/>
      <c r="AW87" s="46"/>
      <c r="AX87" s="46"/>
      <c r="AY87" s="46"/>
      <c r="AZ87" s="46"/>
      <c r="BA87" s="46"/>
      <c r="BB87" s="46"/>
      <c r="BC87" s="46"/>
    </row>
    <row r="88" ht="15.75" customHeight="1">
      <c r="A88" s="46"/>
      <c r="B88" s="59"/>
      <c r="C88" s="59"/>
      <c r="D88" s="59"/>
      <c r="E88" s="59"/>
      <c r="F88" s="59"/>
      <c r="G88" s="59"/>
      <c r="H88" s="59"/>
      <c r="I88" s="59"/>
      <c r="J88" s="59"/>
      <c r="K88" s="59"/>
      <c r="L88" s="59"/>
      <c r="M88" s="59"/>
      <c r="N88" s="59"/>
      <c r="O88" s="59"/>
      <c r="P88" s="59"/>
      <c r="Q88" s="59"/>
      <c r="R88" s="59"/>
      <c r="S88" s="59"/>
      <c r="T88" s="59"/>
      <c r="U88" s="59"/>
      <c r="V88" s="59"/>
      <c r="W88" s="59"/>
      <c r="X88" s="45"/>
      <c r="Y88" s="45"/>
      <c r="Z88" s="45"/>
      <c r="AA88" s="45"/>
      <c r="AB88" s="45"/>
      <c r="AC88" s="45"/>
      <c r="AD88" s="44"/>
      <c r="AE88" s="44"/>
      <c r="AF88" s="44"/>
      <c r="AG88" s="44"/>
      <c r="AH88" s="44"/>
      <c r="AI88" s="44"/>
      <c r="AJ88" s="44"/>
      <c r="AK88" s="44"/>
      <c r="AL88" s="44"/>
      <c r="AM88" s="44"/>
      <c r="AN88" s="44"/>
      <c r="AO88" s="44"/>
      <c r="AP88" s="44"/>
      <c r="AQ88" s="44"/>
      <c r="AR88" s="44"/>
      <c r="AS88" s="44"/>
      <c r="AT88" s="44"/>
      <c r="AU88" s="44"/>
      <c r="AV88" s="45"/>
      <c r="AW88" s="46"/>
      <c r="AX88" s="46"/>
      <c r="AY88" s="46"/>
      <c r="AZ88" s="46"/>
      <c r="BA88" s="46"/>
      <c r="BB88" s="46"/>
      <c r="BC88" s="46"/>
    </row>
    <row r="89" ht="15.75" customHeight="1">
      <c r="A89" s="46"/>
      <c r="B89" s="59"/>
      <c r="C89" s="59"/>
      <c r="D89" s="59"/>
      <c r="E89" s="59"/>
      <c r="F89" s="59"/>
      <c r="G89" s="59"/>
      <c r="H89" s="59"/>
      <c r="I89" s="59"/>
      <c r="J89" s="59"/>
      <c r="K89" s="59"/>
      <c r="L89" s="59"/>
      <c r="M89" s="59"/>
      <c r="N89" s="59"/>
      <c r="O89" s="59"/>
      <c r="P89" s="59"/>
      <c r="Q89" s="59"/>
      <c r="R89" s="59"/>
      <c r="S89" s="59"/>
      <c r="T89" s="59"/>
      <c r="U89" s="59"/>
      <c r="V89" s="59"/>
      <c r="W89" s="59"/>
      <c r="X89" s="45"/>
      <c r="Y89" s="45"/>
      <c r="Z89" s="45"/>
      <c r="AA89" s="45"/>
      <c r="AB89" s="45"/>
      <c r="AC89" s="45"/>
      <c r="AD89" s="44"/>
      <c r="AE89" s="44"/>
      <c r="AF89" s="44"/>
      <c r="AG89" s="44"/>
      <c r="AH89" s="44"/>
      <c r="AI89" s="44"/>
      <c r="AJ89" s="44"/>
      <c r="AK89" s="44"/>
      <c r="AL89" s="44"/>
      <c r="AM89" s="44"/>
      <c r="AN89" s="44"/>
      <c r="AO89" s="44"/>
      <c r="AP89" s="44"/>
      <c r="AQ89" s="44"/>
      <c r="AR89" s="44"/>
      <c r="AS89" s="44"/>
      <c r="AT89" s="44"/>
      <c r="AU89" s="44"/>
      <c r="AV89" s="45"/>
      <c r="AW89" s="46"/>
      <c r="AX89" s="46"/>
      <c r="AY89" s="46"/>
      <c r="AZ89" s="46"/>
      <c r="BA89" s="46"/>
      <c r="BB89" s="46"/>
      <c r="BC89" s="46"/>
    </row>
    <row r="90" ht="15.75" customHeight="1">
      <c r="A90" s="46"/>
      <c r="B90" s="59"/>
      <c r="C90" s="59"/>
      <c r="D90" s="59"/>
      <c r="E90" s="59"/>
      <c r="F90" s="59"/>
      <c r="G90" s="59"/>
      <c r="H90" s="59"/>
      <c r="I90" s="59"/>
      <c r="J90" s="59"/>
      <c r="K90" s="59"/>
      <c r="L90" s="59"/>
      <c r="M90" s="59"/>
      <c r="N90" s="59"/>
      <c r="O90" s="59"/>
      <c r="P90" s="59"/>
      <c r="Q90" s="59"/>
      <c r="R90" s="59"/>
      <c r="S90" s="59"/>
      <c r="T90" s="59"/>
      <c r="U90" s="59"/>
      <c r="V90" s="59"/>
      <c r="W90" s="59"/>
      <c r="X90" s="45"/>
      <c r="Y90" s="45"/>
      <c r="Z90" s="45"/>
      <c r="AA90" s="45"/>
      <c r="AB90" s="45"/>
      <c r="AC90" s="45"/>
      <c r="AD90" s="44"/>
      <c r="AE90" s="44"/>
      <c r="AF90" s="44"/>
      <c r="AG90" s="44"/>
      <c r="AH90" s="44"/>
      <c r="AI90" s="44"/>
      <c r="AJ90" s="44"/>
      <c r="AK90" s="44"/>
      <c r="AL90" s="44"/>
      <c r="AM90" s="44"/>
      <c r="AN90" s="44"/>
      <c r="AO90" s="44"/>
      <c r="AP90" s="44"/>
      <c r="AQ90" s="44"/>
      <c r="AR90" s="44"/>
      <c r="AS90" s="44"/>
      <c r="AT90" s="44"/>
      <c r="AU90" s="44"/>
      <c r="AV90" s="45"/>
      <c r="AW90" s="46"/>
      <c r="AX90" s="46"/>
      <c r="AY90" s="46"/>
      <c r="AZ90" s="46"/>
      <c r="BA90" s="46"/>
      <c r="BB90" s="46"/>
      <c r="BC90" s="46"/>
    </row>
    <row r="91" ht="15.75" customHeight="1">
      <c r="A91" s="46"/>
      <c r="B91" s="59"/>
      <c r="C91" s="59"/>
      <c r="D91" s="59"/>
      <c r="E91" s="59"/>
      <c r="F91" s="59"/>
      <c r="G91" s="59"/>
      <c r="H91" s="59"/>
      <c r="I91" s="59"/>
      <c r="J91" s="59"/>
      <c r="K91" s="59"/>
      <c r="L91" s="59"/>
      <c r="M91" s="59"/>
      <c r="N91" s="59"/>
      <c r="O91" s="59"/>
      <c r="P91" s="59"/>
      <c r="Q91" s="59"/>
      <c r="R91" s="59"/>
      <c r="S91" s="59"/>
      <c r="T91" s="59"/>
      <c r="U91" s="59"/>
      <c r="V91" s="59"/>
      <c r="W91" s="59"/>
      <c r="X91" s="45"/>
      <c r="Y91" s="45"/>
      <c r="Z91" s="45"/>
      <c r="AA91" s="45"/>
      <c r="AB91" s="45"/>
      <c r="AC91" s="45"/>
      <c r="AD91" s="44"/>
      <c r="AE91" s="44"/>
      <c r="AF91" s="44"/>
      <c r="AG91" s="44"/>
      <c r="AH91" s="44"/>
      <c r="AI91" s="44"/>
      <c r="AJ91" s="44"/>
      <c r="AK91" s="44"/>
      <c r="AL91" s="44"/>
      <c r="AM91" s="44"/>
      <c r="AN91" s="44"/>
      <c r="AO91" s="44"/>
      <c r="AP91" s="44"/>
      <c r="AQ91" s="44"/>
      <c r="AR91" s="44"/>
      <c r="AS91" s="44"/>
      <c r="AT91" s="44"/>
      <c r="AU91" s="44"/>
      <c r="AV91" s="45"/>
      <c r="AW91" s="46"/>
      <c r="AX91" s="46"/>
      <c r="AY91" s="46"/>
      <c r="AZ91" s="46"/>
      <c r="BA91" s="46"/>
      <c r="BB91" s="46"/>
      <c r="BC91" s="46"/>
    </row>
    <row r="92" ht="15.75" customHeight="1">
      <c r="A92" s="46"/>
      <c r="B92" s="59"/>
      <c r="C92" s="59"/>
      <c r="D92" s="59"/>
      <c r="E92" s="59"/>
      <c r="F92" s="59"/>
      <c r="G92" s="59"/>
      <c r="H92" s="59"/>
      <c r="I92" s="59"/>
      <c r="J92" s="59"/>
      <c r="K92" s="59"/>
      <c r="L92" s="59"/>
      <c r="M92" s="59"/>
      <c r="N92" s="59"/>
      <c r="O92" s="59"/>
      <c r="P92" s="59"/>
      <c r="Q92" s="59"/>
      <c r="R92" s="59"/>
      <c r="S92" s="59"/>
      <c r="T92" s="59"/>
      <c r="U92" s="59"/>
      <c r="V92" s="59"/>
      <c r="W92" s="59"/>
      <c r="X92" s="45"/>
      <c r="Y92" s="45"/>
      <c r="Z92" s="45"/>
      <c r="AA92" s="45"/>
      <c r="AB92" s="45"/>
      <c r="AC92" s="45"/>
      <c r="AD92" s="44"/>
      <c r="AE92" s="44"/>
      <c r="AF92" s="44"/>
      <c r="AG92" s="44"/>
      <c r="AH92" s="44"/>
      <c r="AI92" s="44"/>
      <c r="AJ92" s="44"/>
      <c r="AK92" s="44"/>
      <c r="AL92" s="44"/>
      <c r="AM92" s="44"/>
      <c r="AN92" s="44"/>
      <c r="AO92" s="44"/>
      <c r="AP92" s="44"/>
      <c r="AQ92" s="44"/>
      <c r="AR92" s="44"/>
      <c r="AS92" s="44"/>
      <c r="AT92" s="44"/>
      <c r="AU92" s="44"/>
      <c r="AV92" s="45"/>
      <c r="AW92" s="46"/>
      <c r="AX92" s="46"/>
      <c r="AY92" s="46"/>
      <c r="AZ92" s="46"/>
      <c r="BA92" s="46"/>
      <c r="BB92" s="46"/>
      <c r="BC92" s="46"/>
    </row>
    <row r="93" ht="15.75" customHeight="1">
      <c r="A93" s="46"/>
      <c r="B93" s="59"/>
      <c r="C93" s="59"/>
      <c r="D93" s="59"/>
      <c r="E93" s="59"/>
      <c r="F93" s="59"/>
      <c r="G93" s="59"/>
      <c r="H93" s="59"/>
      <c r="I93" s="59"/>
      <c r="J93" s="59"/>
      <c r="K93" s="59"/>
      <c r="L93" s="59"/>
      <c r="M93" s="59"/>
      <c r="N93" s="59"/>
      <c r="O93" s="59"/>
      <c r="P93" s="59"/>
      <c r="Q93" s="59"/>
      <c r="R93" s="59"/>
      <c r="S93" s="59"/>
      <c r="T93" s="59"/>
      <c r="U93" s="59"/>
      <c r="V93" s="59"/>
      <c r="W93" s="59"/>
      <c r="X93" s="45"/>
      <c r="Y93" s="45"/>
      <c r="Z93" s="45"/>
      <c r="AA93" s="45"/>
      <c r="AB93" s="45"/>
      <c r="AC93" s="45"/>
      <c r="AD93" s="44"/>
      <c r="AE93" s="44"/>
      <c r="AF93" s="44"/>
      <c r="AG93" s="44"/>
      <c r="AH93" s="44"/>
      <c r="AI93" s="44"/>
      <c r="AJ93" s="44"/>
      <c r="AK93" s="44"/>
      <c r="AL93" s="44"/>
      <c r="AM93" s="44"/>
      <c r="AN93" s="44"/>
      <c r="AO93" s="44"/>
      <c r="AP93" s="44"/>
      <c r="AQ93" s="44"/>
      <c r="AR93" s="44"/>
      <c r="AS93" s="44"/>
      <c r="AT93" s="44"/>
      <c r="AU93" s="44"/>
      <c r="AV93" s="45"/>
      <c r="AW93" s="46"/>
      <c r="AX93" s="46"/>
      <c r="AY93" s="46"/>
      <c r="AZ93" s="46"/>
      <c r="BA93" s="46"/>
      <c r="BB93" s="46"/>
      <c r="BC93" s="46"/>
    </row>
    <row r="94" ht="15.75" customHeight="1">
      <c r="A94" s="46"/>
      <c r="B94" s="59"/>
      <c r="C94" s="59"/>
      <c r="D94" s="59"/>
      <c r="E94" s="59"/>
      <c r="F94" s="59"/>
      <c r="G94" s="59"/>
      <c r="H94" s="59"/>
      <c r="I94" s="59"/>
      <c r="J94" s="59"/>
      <c r="K94" s="59"/>
      <c r="L94" s="59"/>
      <c r="M94" s="59"/>
      <c r="N94" s="59"/>
      <c r="O94" s="59"/>
      <c r="P94" s="59"/>
      <c r="Q94" s="59"/>
      <c r="R94" s="59"/>
      <c r="S94" s="59"/>
      <c r="T94" s="59"/>
      <c r="U94" s="59"/>
      <c r="V94" s="59"/>
      <c r="W94" s="59"/>
      <c r="X94" s="45"/>
      <c r="Y94" s="45"/>
      <c r="Z94" s="45"/>
      <c r="AA94" s="45"/>
      <c r="AB94" s="45"/>
      <c r="AC94" s="45"/>
      <c r="AD94" s="44"/>
      <c r="AE94" s="44"/>
      <c r="AF94" s="44"/>
      <c r="AG94" s="44"/>
      <c r="AH94" s="44"/>
      <c r="AI94" s="44"/>
      <c r="AJ94" s="44"/>
      <c r="AK94" s="44"/>
      <c r="AL94" s="44"/>
      <c r="AM94" s="44"/>
      <c r="AN94" s="44"/>
      <c r="AO94" s="44"/>
      <c r="AP94" s="44"/>
      <c r="AQ94" s="44"/>
      <c r="AR94" s="44"/>
      <c r="AS94" s="44"/>
      <c r="AT94" s="44"/>
      <c r="AU94" s="44"/>
      <c r="AV94" s="45"/>
      <c r="AW94" s="46"/>
      <c r="AX94" s="46"/>
      <c r="AY94" s="46"/>
      <c r="AZ94" s="46"/>
      <c r="BA94" s="46"/>
      <c r="BB94" s="46"/>
      <c r="BC94" s="46"/>
    </row>
    <row r="95" ht="15.75" customHeight="1">
      <c r="A95" s="46"/>
      <c r="B95" s="59"/>
      <c r="C95" s="59"/>
      <c r="D95" s="59"/>
      <c r="E95" s="59"/>
      <c r="F95" s="59"/>
      <c r="G95" s="59"/>
      <c r="H95" s="59"/>
      <c r="I95" s="59"/>
      <c r="J95" s="59"/>
      <c r="K95" s="59"/>
      <c r="L95" s="59"/>
      <c r="M95" s="59"/>
      <c r="N95" s="59"/>
      <c r="O95" s="59"/>
      <c r="P95" s="59"/>
      <c r="Q95" s="59"/>
      <c r="R95" s="59"/>
      <c r="S95" s="59"/>
      <c r="T95" s="59"/>
      <c r="U95" s="59"/>
      <c r="V95" s="59"/>
      <c r="W95" s="59"/>
      <c r="X95" s="45"/>
      <c r="Y95" s="45"/>
      <c r="Z95" s="45"/>
      <c r="AA95" s="45"/>
      <c r="AB95" s="45"/>
      <c r="AC95" s="45"/>
      <c r="AD95" s="44"/>
      <c r="AE95" s="44"/>
      <c r="AF95" s="44"/>
      <c r="AG95" s="44"/>
      <c r="AH95" s="44"/>
      <c r="AI95" s="44"/>
      <c r="AJ95" s="44"/>
      <c r="AK95" s="44"/>
      <c r="AL95" s="44"/>
      <c r="AM95" s="44"/>
      <c r="AN95" s="44"/>
      <c r="AO95" s="44"/>
      <c r="AP95" s="44"/>
      <c r="AQ95" s="44"/>
      <c r="AR95" s="44"/>
      <c r="AS95" s="44"/>
      <c r="AT95" s="44"/>
      <c r="AU95" s="44"/>
      <c r="AV95" s="45"/>
      <c r="AW95" s="46"/>
      <c r="AX95" s="46"/>
      <c r="AY95" s="46"/>
      <c r="AZ95" s="46"/>
      <c r="BA95" s="46"/>
      <c r="BB95" s="46"/>
      <c r="BC95" s="46"/>
    </row>
    <row r="96" ht="15.75" customHeight="1">
      <c r="A96" s="46"/>
      <c r="B96" s="59"/>
      <c r="C96" s="59"/>
      <c r="D96" s="59"/>
      <c r="E96" s="59"/>
      <c r="F96" s="59"/>
      <c r="G96" s="59"/>
      <c r="H96" s="59"/>
      <c r="I96" s="59"/>
      <c r="J96" s="59"/>
      <c r="K96" s="59"/>
      <c r="L96" s="59"/>
      <c r="M96" s="59"/>
      <c r="N96" s="59"/>
      <c r="O96" s="59"/>
      <c r="P96" s="59"/>
      <c r="Q96" s="59"/>
      <c r="R96" s="59"/>
      <c r="S96" s="59"/>
      <c r="T96" s="59"/>
      <c r="U96" s="59"/>
      <c r="V96" s="59"/>
      <c r="W96" s="59"/>
      <c r="X96" s="45"/>
      <c r="Y96" s="45"/>
      <c r="Z96" s="45"/>
      <c r="AA96" s="45"/>
      <c r="AB96" s="45"/>
      <c r="AC96" s="45"/>
      <c r="AD96" s="44"/>
      <c r="AE96" s="44"/>
      <c r="AF96" s="44"/>
      <c r="AG96" s="44"/>
      <c r="AH96" s="44"/>
      <c r="AI96" s="44"/>
      <c r="AJ96" s="44"/>
      <c r="AK96" s="44"/>
      <c r="AL96" s="44"/>
      <c r="AM96" s="44"/>
      <c r="AN96" s="44"/>
      <c r="AO96" s="44"/>
      <c r="AP96" s="44"/>
      <c r="AQ96" s="44"/>
      <c r="AR96" s="44"/>
      <c r="AS96" s="44"/>
      <c r="AT96" s="44"/>
      <c r="AU96" s="44"/>
      <c r="AV96" s="45"/>
      <c r="AW96" s="46"/>
      <c r="AX96" s="46"/>
      <c r="AY96" s="46"/>
      <c r="AZ96" s="46"/>
      <c r="BA96" s="46"/>
      <c r="BB96" s="46"/>
      <c r="BC96" s="46"/>
    </row>
    <row r="97" ht="15.75" customHeight="1">
      <c r="A97" s="46"/>
      <c r="B97" s="59"/>
      <c r="C97" s="59"/>
      <c r="D97" s="59"/>
      <c r="E97" s="59"/>
      <c r="F97" s="59"/>
      <c r="G97" s="59"/>
      <c r="H97" s="59"/>
      <c r="I97" s="59"/>
      <c r="J97" s="59"/>
      <c r="K97" s="59"/>
      <c r="L97" s="59"/>
      <c r="M97" s="59"/>
      <c r="N97" s="59"/>
      <c r="O97" s="59"/>
      <c r="P97" s="59"/>
      <c r="Q97" s="59"/>
      <c r="R97" s="59"/>
      <c r="S97" s="59"/>
      <c r="T97" s="59"/>
      <c r="U97" s="59"/>
      <c r="V97" s="59"/>
      <c r="W97" s="59"/>
      <c r="X97" s="45"/>
      <c r="Y97" s="45"/>
      <c r="Z97" s="45"/>
      <c r="AA97" s="45"/>
      <c r="AB97" s="45"/>
      <c r="AC97" s="45"/>
      <c r="AD97" s="44"/>
      <c r="AE97" s="44"/>
      <c r="AF97" s="44"/>
      <c r="AG97" s="44"/>
      <c r="AH97" s="44"/>
      <c r="AI97" s="44"/>
      <c r="AJ97" s="44"/>
      <c r="AK97" s="44"/>
      <c r="AL97" s="44"/>
      <c r="AM97" s="44"/>
      <c r="AN97" s="44"/>
      <c r="AO97" s="44"/>
      <c r="AP97" s="44"/>
      <c r="AQ97" s="44"/>
      <c r="AR97" s="44"/>
      <c r="AS97" s="44"/>
      <c r="AT97" s="44"/>
      <c r="AU97" s="44"/>
      <c r="AV97" s="45"/>
      <c r="AW97" s="46"/>
      <c r="AX97" s="46"/>
      <c r="AY97" s="46"/>
      <c r="AZ97" s="46"/>
      <c r="BA97" s="46"/>
      <c r="BB97" s="46"/>
      <c r="BC97" s="46"/>
    </row>
    <row r="98" ht="15.75" customHeight="1">
      <c r="A98" s="46"/>
      <c r="B98" s="59"/>
      <c r="C98" s="59"/>
      <c r="D98" s="59"/>
      <c r="E98" s="59"/>
      <c r="F98" s="59"/>
      <c r="G98" s="59"/>
      <c r="H98" s="59"/>
      <c r="I98" s="59"/>
      <c r="J98" s="59"/>
      <c r="K98" s="59"/>
      <c r="L98" s="59"/>
      <c r="M98" s="59"/>
      <c r="N98" s="59"/>
      <c r="O98" s="59"/>
      <c r="P98" s="59"/>
      <c r="Q98" s="59"/>
      <c r="R98" s="59"/>
      <c r="S98" s="59"/>
      <c r="T98" s="59"/>
      <c r="U98" s="59"/>
      <c r="V98" s="59"/>
      <c r="W98" s="59"/>
      <c r="X98" s="45"/>
      <c r="Y98" s="45"/>
      <c r="Z98" s="45"/>
      <c r="AA98" s="45"/>
      <c r="AB98" s="45"/>
      <c r="AC98" s="45"/>
      <c r="AD98" s="44"/>
      <c r="AE98" s="44"/>
      <c r="AF98" s="44"/>
      <c r="AG98" s="44"/>
      <c r="AH98" s="44"/>
      <c r="AI98" s="44"/>
      <c r="AJ98" s="44"/>
      <c r="AK98" s="44"/>
      <c r="AL98" s="44"/>
      <c r="AM98" s="44"/>
      <c r="AN98" s="44"/>
      <c r="AO98" s="44"/>
      <c r="AP98" s="44"/>
      <c r="AQ98" s="44"/>
      <c r="AR98" s="44"/>
      <c r="AS98" s="44"/>
      <c r="AT98" s="44"/>
      <c r="AU98" s="44"/>
      <c r="AV98" s="45"/>
      <c r="AW98" s="46"/>
      <c r="AX98" s="46"/>
      <c r="AY98" s="46"/>
      <c r="AZ98" s="46"/>
      <c r="BA98" s="46"/>
      <c r="BB98" s="46"/>
      <c r="BC98" s="46"/>
    </row>
    <row r="99" ht="15.75" customHeight="1">
      <c r="A99" s="46"/>
      <c r="B99" s="59"/>
      <c r="C99" s="59"/>
      <c r="D99" s="59"/>
      <c r="E99" s="59"/>
      <c r="F99" s="59"/>
      <c r="G99" s="59"/>
      <c r="H99" s="59"/>
      <c r="I99" s="59"/>
      <c r="J99" s="59"/>
      <c r="K99" s="59"/>
      <c r="L99" s="59"/>
      <c r="M99" s="59"/>
      <c r="N99" s="59"/>
      <c r="O99" s="59"/>
      <c r="P99" s="59"/>
      <c r="Q99" s="59"/>
      <c r="R99" s="59"/>
      <c r="S99" s="59"/>
      <c r="T99" s="59"/>
      <c r="U99" s="59"/>
      <c r="V99" s="59"/>
      <c r="W99" s="59"/>
      <c r="X99" s="45"/>
      <c r="Y99" s="45"/>
      <c r="Z99" s="45"/>
      <c r="AA99" s="45"/>
      <c r="AB99" s="45"/>
      <c r="AC99" s="45"/>
      <c r="AD99" s="44"/>
      <c r="AE99" s="44"/>
      <c r="AF99" s="44"/>
      <c r="AG99" s="44"/>
      <c r="AH99" s="44"/>
      <c r="AI99" s="44"/>
      <c r="AJ99" s="44"/>
      <c r="AK99" s="44"/>
      <c r="AL99" s="44"/>
      <c r="AM99" s="44"/>
      <c r="AN99" s="44"/>
      <c r="AO99" s="44"/>
      <c r="AP99" s="44"/>
      <c r="AQ99" s="44"/>
      <c r="AR99" s="44"/>
      <c r="AS99" s="44"/>
      <c r="AT99" s="44"/>
      <c r="AU99" s="44"/>
      <c r="AV99" s="45"/>
      <c r="AW99" s="46"/>
      <c r="AX99" s="46"/>
      <c r="AY99" s="46"/>
      <c r="AZ99" s="46"/>
      <c r="BA99" s="46"/>
      <c r="BB99" s="46"/>
      <c r="BC99" s="46"/>
    </row>
    <row r="100" ht="15.75" customHeight="1">
      <c r="A100" s="46"/>
      <c r="B100" s="59"/>
      <c r="C100" s="59"/>
      <c r="D100" s="59"/>
      <c r="E100" s="59"/>
      <c r="F100" s="59"/>
      <c r="G100" s="59"/>
      <c r="H100" s="59"/>
      <c r="I100" s="59"/>
      <c r="J100" s="59"/>
      <c r="K100" s="59"/>
      <c r="L100" s="59"/>
      <c r="M100" s="59"/>
      <c r="N100" s="59"/>
      <c r="O100" s="59"/>
      <c r="P100" s="59"/>
      <c r="Q100" s="59"/>
      <c r="R100" s="59"/>
      <c r="S100" s="59"/>
      <c r="T100" s="59"/>
      <c r="U100" s="59"/>
      <c r="V100" s="59"/>
      <c r="W100" s="59"/>
      <c r="X100" s="45"/>
      <c r="Y100" s="45"/>
      <c r="Z100" s="45"/>
      <c r="AA100" s="45"/>
      <c r="AB100" s="45"/>
      <c r="AC100" s="45"/>
      <c r="AD100" s="44"/>
      <c r="AE100" s="44"/>
      <c r="AF100" s="44"/>
      <c r="AG100" s="44"/>
      <c r="AH100" s="44"/>
      <c r="AI100" s="44"/>
      <c r="AJ100" s="44"/>
      <c r="AK100" s="44"/>
      <c r="AL100" s="44"/>
      <c r="AM100" s="44"/>
      <c r="AN100" s="44"/>
      <c r="AO100" s="44"/>
      <c r="AP100" s="44"/>
      <c r="AQ100" s="44"/>
      <c r="AR100" s="44"/>
      <c r="AS100" s="44"/>
      <c r="AT100" s="44"/>
      <c r="AU100" s="44"/>
      <c r="AV100" s="45"/>
      <c r="AW100" s="46"/>
      <c r="AX100" s="46"/>
      <c r="AY100" s="46"/>
      <c r="AZ100" s="46"/>
      <c r="BA100" s="46"/>
      <c r="BB100" s="46"/>
      <c r="BC100" s="46"/>
    </row>
    <row r="101" ht="15.75" customHeight="1">
      <c r="A101" s="46"/>
      <c r="B101" s="59"/>
      <c r="C101" s="59"/>
      <c r="D101" s="59"/>
      <c r="E101" s="59"/>
      <c r="F101" s="59"/>
      <c r="G101" s="59"/>
      <c r="H101" s="59"/>
      <c r="I101" s="59"/>
      <c r="J101" s="59"/>
      <c r="K101" s="59"/>
      <c r="L101" s="59"/>
      <c r="M101" s="59"/>
      <c r="N101" s="59"/>
      <c r="O101" s="59"/>
      <c r="P101" s="59"/>
      <c r="Q101" s="59"/>
      <c r="R101" s="59"/>
      <c r="S101" s="59"/>
      <c r="T101" s="59"/>
      <c r="U101" s="59"/>
      <c r="V101" s="59"/>
      <c r="W101" s="59"/>
      <c r="X101" s="45"/>
      <c r="Y101" s="45"/>
      <c r="Z101" s="45"/>
      <c r="AA101" s="45"/>
      <c r="AB101" s="45"/>
      <c r="AC101" s="45"/>
      <c r="AD101" s="44"/>
      <c r="AE101" s="44"/>
      <c r="AF101" s="44"/>
      <c r="AG101" s="44"/>
      <c r="AH101" s="44"/>
      <c r="AI101" s="44"/>
      <c r="AJ101" s="44"/>
      <c r="AK101" s="44"/>
      <c r="AL101" s="44"/>
      <c r="AM101" s="44"/>
      <c r="AN101" s="44"/>
      <c r="AO101" s="44"/>
      <c r="AP101" s="44"/>
      <c r="AQ101" s="44"/>
      <c r="AR101" s="44"/>
      <c r="AS101" s="44"/>
      <c r="AT101" s="44"/>
      <c r="AU101" s="44"/>
      <c r="AV101" s="45"/>
      <c r="AW101" s="46"/>
      <c r="AX101" s="46"/>
      <c r="AY101" s="46"/>
      <c r="AZ101" s="46"/>
      <c r="BA101" s="46"/>
      <c r="BB101" s="46"/>
      <c r="BC101" s="46"/>
    </row>
    <row r="102" ht="15.75" customHeight="1">
      <c r="A102" s="46"/>
      <c r="B102" s="59"/>
      <c r="C102" s="59"/>
      <c r="D102" s="59"/>
      <c r="E102" s="59"/>
      <c r="F102" s="59"/>
      <c r="G102" s="59"/>
      <c r="H102" s="59"/>
      <c r="I102" s="59"/>
      <c r="J102" s="59"/>
      <c r="K102" s="59"/>
      <c r="L102" s="59"/>
      <c r="M102" s="59"/>
      <c r="N102" s="59"/>
      <c r="O102" s="59"/>
      <c r="P102" s="59"/>
      <c r="Q102" s="59"/>
      <c r="R102" s="59"/>
      <c r="S102" s="59"/>
      <c r="T102" s="59"/>
      <c r="U102" s="59"/>
      <c r="V102" s="59"/>
      <c r="W102" s="59"/>
      <c r="X102" s="45"/>
      <c r="Y102" s="45"/>
      <c r="Z102" s="45"/>
      <c r="AA102" s="45"/>
      <c r="AB102" s="45"/>
      <c r="AC102" s="45"/>
      <c r="AD102" s="44"/>
      <c r="AE102" s="44"/>
      <c r="AF102" s="44"/>
      <c r="AG102" s="44"/>
      <c r="AH102" s="44"/>
      <c r="AI102" s="44"/>
      <c r="AJ102" s="44"/>
      <c r="AK102" s="44"/>
      <c r="AL102" s="44"/>
      <c r="AM102" s="44"/>
      <c r="AN102" s="44"/>
      <c r="AO102" s="44"/>
      <c r="AP102" s="44"/>
      <c r="AQ102" s="44"/>
      <c r="AR102" s="44"/>
      <c r="AS102" s="44"/>
      <c r="AT102" s="44"/>
      <c r="AU102" s="44"/>
      <c r="AV102" s="45"/>
      <c r="AW102" s="46"/>
      <c r="AX102" s="46"/>
      <c r="AY102" s="46"/>
      <c r="AZ102" s="46"/>
      <c r="BA102" s="46"/>
      <c r="BB102" s="46"/>
      <c r="BC102" s="46"/>
    </row>
    <row r="103" ht="15.75" customHeight="1">
      <c r="A103" s="46"/>
      <c r="B103" s="59"/>
      <c r="C103" s="59"/>
      <c r="D103" s="59"/>
      <c r="E103" s="59"/>
      <c r="F103" s="59"/>
      <c r="G103" s="59"/>
      <c r="H103" s="59"/>
      <c r="I103" s="59"/>
      <c r="J103" s="59"/>
      <c r="K103" s="59"/>
      <c r="L103" s="59"/>
      <c r="M103" s="59"/>
      <c r="N103" s="59"/>
      <c r="O103" s="59"/>
      <c r="P103" s="59"/>
      <c r="Q103" s="59"/>
      <c r="R103" s="59"/>
      <c r="S103" s="59"/>
      <c r="T103" s="59"/>
      <c r="U103" s="59"/>
      <c r="V103" s="59"/>
      <c r="W103" s="59"/>
      <c r="X103" s="45"/>
      <c r="Y103" s="45"/>
      <c r="Z103" s="45"/>
      <c r="AA103" s="45"/>
      <c r="AB103" s="45"/>
      <c r="AC103" s="45"/>
      <c r="AD103" s="44"/>
      <c r="AE103" s="44"/>
      <c r="AF103" s="44"/>
      <c r="AG103" s="44"/>
      <c r="AH103" s="44"/>
      <c r="AI103" s="44"/>
      <c r="AJ103" s="44"/>
      <c r="AK103" s="44"/>
      <c r="AL103" s="44"/>
      <c r="AM103" s="44"/>
      <c r="AN103" s="44"/>
      <c r="AO103" s="44"/>
      <c r="AP103" s="44"/>
      <c r="AQ103" s="44"/>
      <c r="AR103" s="44"/>
      <c r="AS103" s="44"/>
      <c r="AT103" s="44"/>
      <c r="AU103" s="44"/>
      <c r="AV103" s="45"/>
      <c r="AW103" s="46"/>
      <c r="AX103" s="46"/>
      <c r="AY103" s="46"/>
      <c r="AZ103" s="46"/>
      <c r="BA103" s="46"/>
      <c r="BB103" s="46"/>
      <c r="BC103" s="46"/>
    </row>
    <row r="104" ht="15.75" customHeight="1">
      <c r="A104" s="46"/>
      <c r="B104" s="59"/>
      <c r="C104" s="59"/>
      <c r="D104" s="59"/>
      <c r="E104" s="59"/>
      <c r="F104" s="59"/>
      <c r="G104" s="59"/>
      <c r="H104" s="59"/>
      <c r="I104" s="59"/>
      <c r="J104" s="59"/>
      <c r="K104" s="59"/>
      <c r="L104" s="59"/>
      <c r="M104" s="59"/>
      <c r="N104" s="59"/>
      <c r="O104" s="59"/>
      <c r="P104" s="59"/>
      <c r="Q104" s="59"/>
      <c r="R104" s="59"/>
      <c r="S104" s="59"/>
      <c r="T104" s="59"/>
      <c r="U104" s="59"/>
      <c r="V104" s="59"/>
      <c r="W104" s="59"/>
      <c r="X104" s="45"/>
      <c r="Y104" s="45"/>
      <c r="Z104" s="45"/>
      <c r="AA104" s="45"/>
      <c r="AB104" s="45"/>
      <c r="AC104" s="45"/>
      <c r="AD104" s="44"/>
      <c r="AE104" s="44"/>
      <c r="AF104" s="44"/>
      <c r="AG104" s="44"/>
      <c r="AH104" s="44"/>
      <c r="AI104" s="44"/>
      <c r="AJ104" s="44"/>
      <c r="AK104" s="44"/>
      <c r="AL104" s="44"/>
      <c r="AM104" s="44"/>
      <c r="AN104" s="44"/>
      <c r="AO104" s="44"/>
      <c r="AP104" s="44"/>
      <c r="AQ104" s="44"/>
      <c r="AR104" s="44"/>
      <c r="AS104" s="44"/>
      <c r="AT104" s="44"/>
      <c r="AU104" s="44"/>
      <c r="AV104" s="45"/>
      <c r="AW104" s="46"/>
      <c r="AX104" s="46"/>
      <c r="AY104" s="46"/>
      <c r="AZ104" s="46"/>
      <c r="BA104" s="46"/>
      <c r="BB104" s="46"/>
      <c r="BC104" s="46"/>
    </row>
    <row r="105" ht="15.75" customHeight="1">
      <c r="A105" s="46"/>
      <c r="B105" s="59"/>
      <c r="C105" s="59"/>
      <c r="D105" s="59"/>
      <c r="E105" s="59"/>
      <c r="F105" s="59"/>
      <c r="G105" s="59"/>
      <c r="H105" s="59"/>
      <c r="I105" s="59"/>
      <c r="J105" s="59"/>
      <c r="K105" s="59"/>
      <c r="L105" s="59"/>
      <c r="M105" s="59"/>
      <c r="N105" s="59"/>
      <c r="O105" s="59"/>
      <c r="P105" s="59"/>
      <c r="Q105" s="59"/>
      <c r="R105" s="59"/>
      <c r="S105" s="59"/>
      <c r="T105" s="59"/>
      <c r="U105" s="59"/>
      <c r="V105" s="59"/>
      <c r="W105" s="59"/>
      <c r="X105" s="45"/>
      <c r="Y105" s="45"/>
      <c r="Z105" s="45"/>
      <c r="AA105" s="45"/>
      <c r="AB105" s="45"/>
      <c r="AC105" s="45"/>
      <c r="AD105" s="44"/>
      <c r="AE105" s="44"/>
      <c r="AF105" s="44"/>
      <c r="AG105" s="44"/>
      <c r="AH105" s="44"/>
      <c r="AI105" s="44"/>
      <c r="AJ105" s="44"/>
      <c r="AK105" s="44"/>
      <c r="AL105" s="44"/>
      <c r="AM105" s="44"/>
      <c r="AN105" s="44"/>
      <c r="AO105" s="44"/>
      <c r="AP105" s="44"/>
      <c r="AQ105" s="44"/>
      <c r="AR105" s="44"/>
      <c r="AS105" s="44"/>
      <c r="AT105" s="44"/>
      <c r="AU105" s="44"/>
      <c r="AV105" s="45"/>
      <c r="AW105" s="46"/>
      <c r="AX105" s="46"/>
      <c r="AY105" s="46"/>
      <c r="AZ105" s="46"/>
      <c r="BA105" s="46"/>
      <c r="BB105" s="46"/>
      <c r="BC105" s="46"/>
    </row>
    <row r="106" ht="15.75" customHeight="1">
      <c r="A106" s="46"/>
      <c r="B106" s="59"/>
      <c r="C106" s="59"/>
      <c r="D106" s="59"/>
      <c r="E106" s="59"/>
      <c r="F106" s="59"/>
      <c r="G106" s="59"/>
      <c r="H106" s="59"/>
      <c r="I106" s="59"/>
      <c r="J106" s="59"/>
      <c r="K106" s="59"/>
      <c r="L106" s="59"/>
      <c r="M106" s="59"/>
      <c r="N106" s="59"/>
      <c r="O106" s="59"/>
      <c r="P106" s="59"/>
      <c r="Q106" s="59"/>
      <c r="R106" s="59"/>
      <c r="S106" s="59"/>
      <c r="T106" s="59"/>
      <c r="U106" s="59"/>
      <c r="V106" s="59"/>
      <c r="W106" s="59"/>
      <c r="X106" s="45"/>
      <c r="Y106" s="45"/>
      <c r="Z106" s="45"/>
      <c r="AA106" s="45"/>
      <c r="AB106" s="45"/>
      <c r="AC106" s="45"/>
      <c r="AD106" s="44"/>
      <c r="AE106" s="44"/>
      <c r="AF106" s="44"/>
      <c r="AG106" s="44"/>
      <c r="AH106" s="44"/>
      <c r="AI106" s="44"/>
      <c r="AJ106" s="44"/>
      <c r="AK106" s="44"/>
      <c r="AL106" s="44"/>
      <c r="AM106" s="44"/>
      <c r="AN106" s="44"/>
      <c r="AO106" s="44"/>
      <c r="AP106" s="44"/>
      <c r="AQ106" s="44"/>
      <c r="AR106" s="44"/>
      <c r="AS106" s="44"/>
      <c r="AT106" s="44"/>
      <c r="AU106" s="44"/>
      <c r="AV106" s="45"/>
      <c r="AW106" s="46"/>
      <c r="AX106" s="46"/>
      <c r="AY106" s="46"/>
      <c r="AZ106" s="46"/>
      <c r="BA106" s="46"/>
      <c r="BB106" s="46"/>
      <c r="BC106" s="46"/>
    </row>
    <row r="107" ht="15.75" customHeight="1">
      <c r="A107" s="46"/>
      <c r="B107" s="59"/>
      <c r="C107" s="59"/>
      <c r="D107" s="59"/>
      <c r="E107" s="59"/>
      <c r="F107" s="59"/>
      <c r="G107" s="59"/>
      <c r="H107" s="59"/>
      <c r="I107" s="59"/>
      <c r="J107" s="59"/>
      <c r="K107" s="59"/>
      <c r="L107" s="59"/>
      <c r="M107" s="59"/>
      <c r="N107" s="59"/>
      <c r="O107" s="59"/>
      <c r="P107" s="59"/>
      <c r="Q107" s="59"/>
      <c r="R107" s="59"/>
      <c r="S107" s="59"/>
      <c r="T107" s="59"/>
      <c r="U107" s="59"/>
      <c r="V107" s="59"/>
      <c r="W107" s="59"/>
      <c r="X107" s="45"/>
      <c r="Y107" s="45"/>
      <c r="Z107" s="45"/>
      <c r="AA107" s="45"/>
      <c r="AB107" s="45"/>
      <c r="AC107" s="45"/>
      <c r="AD107" s="44"/>
      <c r="AE107" s="44"/>
      <c r="AF107" s="44"/>
      <c r="AG107" s="44"/>
      <c r="AH107" s="44"/>
      <c r="AI107" s="44"/>
      <c r="AJ107" s="44"/>
      <c r="AK107" s="44"/>
      <c r="AL107" s="44"/>
      <c r="AM107" s="44"/>
      <c r="AN107" s="44"/>
      <c r="AO107" s="44"/>
      <c r="AP107" s="44"/>
      <c r="AQ107" s="44"/>
      <c r="AR107" s="44"/>
      <c r="AS107" s="44"/>
      <c r="AT107" s="44"/>
      <c r="AU107" s="44"/>
      <c r="AV107" s="45"/>
      <c r="AW107" s="46"/>
      <c r="AX107" s="46"/>
      <c r="AY107" s="46"/>
      <c r="AZ107" s="46"/>
      <c r="BA107" s="46"/>
      <c r="BB107" s="46"/>
      <c r="BC107" s="46"/>
    </row>
    <row r="108" ht="15.75" customHeight="1">
      <c r="A108" s="46"/>
      <c r="B108" s="59"/>
      <c r="C108" s="59"/>
      <c r="D108" s="59"/>
      <c r="E108" s="59"/>
      <c r="F108" s="59"/>
      <c r="G108" s="59"/>
      <c r="H108" s="59"/>
      <c r="I108" s="59"/>
      <c r="J108" s="59"/>
      <c r="K108" s="59"/>
      <c r="L108" s="59"/>
      <c r="M108" s="59"/>
      <c r="N108" s="59"/>
      <c r="O108" s="59"/>
      <c r="P108" s="59"/>
      <c r="Q108" s="59"/>
      <c r="R108" s="59"/>
      <c r="S108" s="59"/>
      <c r="T108" s="59"/>
      <c r="U108" s="59"/>
      <c r="V108" s="59"/>
      <c r="W108" s="59"/>
      <c r="X108" s="45"/>
      <c r="Y108" s="45"/>
      <c r="Z108" s="45"/>
      <c r="AA108" s="45"/>
      <c r="AB108" s="45"/>
      <c r="AC108" s="45"/>
      <c r="AD108" s="44"/>
      <c r="AE108" s="44"/>
      <c r="AF108" s="44"/>
      <c r="AG108" s="44"/>
      <c r="AH108" s="44"/>
      <c r="AI108" s="44"/>
      <c r="AJ108" s="44"/>
      <c r="AK108" s="44"/>
      <c r="AL108" s="44"/>
      <c r="AM108" s="44"/>
      <c r="AN108" s="44"/>
      <c r="AO108" s="44"/>
      <c r="AP108" s="44"/>
      <c r="AQ108" s="44"/>
      <c r="AR108" s="44"/>
      <c r="AS108" s="44"/>
      <c r="AT108" s="44"/>
      <c r="AU108" s="44"/>
      <c r="AV108" s="45"/>
      <c r="AW108" s="46"/>
      <c r="AX108" s="46"/>
      <c r="AY108" s="46"/>
      <c r="AZ108" s="46"/>
      <c r="BA108" s="46"/>
      <c r="BB108" s="46"/>
      <c r="BC108" s="46"/>
    </row>
    <row r="109" ht="15.75" customHeight="1">
      <c r="A109" s="46"/>
      <c r="B109" s="59"/>
      <c r="C109" s="59"/>
      <c r="D109" s="59"/>
      <c r="E109" s="59"/>
      <c r="F109" s="59"/>
      <c r="G109" s="59"/>
      <c r="H109" s="59"/>
      <c r="I109" s="59"/>
      <c r="J109" s="59"/>
      <c r="K109" s="59"/>
      <c r="L109" s="59"/>
      <c r="M109" s="59"/>
      <c r="N109" s="59"/>
      <c r="O109" s="59"/>
      <c r="P109" s="59"/>
      <c r="Q109" s="59"/>
      <c r="R109" s="59"/>
      <c r="S109" s="59"/>
      <c r="T109" s="59"/>
      <c r="U109" s="59"/>
      <c r="V109" s="59"/>
      <c r="W109" s="59"/>
      <c r="X109" s="45"/>
      <c r="Y109" s="45"/>
      <c r="Z109" s="45"/>
      <c r="AA109" s="45"/>
      <c r="AB109" s="45"/>
      <c r="AC109" s="45"/>
      <c r="AD109" s="44"/>
      <c r="AE109" s="44"/>
      <c r="AF109" s="44"/>
      <c r="AG109" s="44"/>
      <c r="AH109" s="44"/>
      <c r="AI109" s="44"/>
      <c r="AJ109" s="44"/>
      <c r="AK109" s="44"/>
      <c r="AL109" s="44"/>
      <c r="AM109" s="44"/>
      <c r="AN109" s="44"/>
      <c r="AO109" s="44"/>
      <c r="AP109" s="44"/>
      <c r="AQ109" s="44"/>
      <c r="AR109" s="44"/>
      <c r="AS109" s="44"/>
      <c r="AT109" s="44"/>
      <c r="AU109" s="44"/>
      <c r="AV109" s="45"/>
      <c r="AW109" s="46"/>
      <c r="AX109" s="46"/>
      <c r="AY109" s="46"/>
      <c r="AZ109" s="46"/>
      <c r="BA109" s="46"/>
      <c r="BB109" s="46"/>
      <c r="BC109" s="46"/>
    </row>
    <row r="110" ht="15.75" customHeight="1">
      <c r="A110" s="46"/>
      <c r="B110" s="59"/>
      <c r="C110" s="59"/>
      <c r="D110" s="59"/>
      <c r="E110" s="59"/>
      <c r="F110" s="59"/>
      <c r="G110" s="59"/>
      <c r="H110" s="59"/>
      <c r="I110" s="59"/>
      <c r="J110" s="59"/>
      <c r="K110" s="59"/>
      <c r="L110" s="59"/>
      <c r="M110" s="59"/>
      <c r="N110" s="59"/>
      <c r="O110" s="59"/>
      <c r="P110" s="59"/>
      <c r="Q110" s="59"/>
      <c r="R110" s="59"/>
      <c r="S110" s="59"/>
      <c r="T110" s="59"/>
      <c r="U110" s="59"/>
      <c r="V110" s="59"/>
      <c r="W110" s="59"/>
      <c r="X110" s="45"/>
      <c r="Y110" s="45"/>
      <c r="Z110" s="45"/>
      <c r="AA110" s="45"/>
      <c r="AB110" s="45"/>
      <c r="AC110" s="45"/>
      <c r="AD110" s="44"/>
      <c r="AE110" s="44"/>
      <c r="AF110" s="44"/>
      <c r="AG110" s="44"/>
      <c r="AH110" s="44"/>
      <c r="AI110" s="44"/>
      <c r="AJ110" s="44"/>
      <c r="AK110" s="44"/>
      <c r="AL110" s="44"/>
      <c r="AM110" s="44"/>
      <c r="AN110" s="44"/>
      <c r="AO110" s="44"/>
      <c r="AP110" s="44"/>
      <c r="AQ110" s="44"/>
      <c r="AR110" s="44"/>
      <c r="AS110" s="44"/>
      <c r="AT110" s="44"/>
      <c r="AU110" s="44"/>
      <c r="AV110" s="45"/>
      <c r="AW110" s="46"/>
      <c r="AX110" s="46"/>
      <c r="AY110" s="46"/>
      <c r="AZ110" s="46"/>
      <c r="BA110" s="46"/>
      <c r="BB110" s="46"/>
      <c r="BC110" s="46"/>
    </row>
    <row r="111" ht="15.75" customHeight="1">
      <c r="A111" s="46"/>
      <c r="B111" s="59"/>
      <c r="C111" s="59"/>
      <c r="D111" s="59"/>
      <c r="E111" s="59"/>
      <c r="F111" s="59"/>
      <c r="G111" s="59"/>
      <c r="H111" s="59"/>
      <c r="I111" s="59"/>
      <c r="J111" s="59"/>
      <c r="K111" s="59"/>
      <c r="L111" s="59"/>
      <c r="M111" s="59"/>
      <c r="N111" s="59"/>
      <c r="O111" s="59"/>
      <c r="P111" s="59"/>
      <c r="Q111" s="59"/>
      <c r="R111" s="59"/>
      <c r="S111" s="59"/>
      <c r="T111" s="59"/>
      <c r="U111" s="59"/>
      <c r="V111" s="59"/>
      <c r="W111" s="59"/>
      <c r="X111" s="45"/>
      <c r="Y111" s="45"/>
      <c r="Z111" s="45"/>
      <c r="AA111" s="45"/>
      <c r="AB111" s="45"/>
      <c r="AC111" s="45"/>
      <c r="AD111" s="44"/>
      <c r="AE111" s="44"/>
      <c r="AF111" s="44"/>
      <c r="AG111" s="44"/>
      <c r="AH111" s="44"/>
      <c r="AI111" s="44"/>
      <c r="AJ111" s="44"/>
      <c r="AK111" s="44"/>
      <c r="AL111" s="44"/>
      <c r="AM111" s="44"/>
      <c r="AN111" s="44"/>
      <c r="AO111" s="44"/>
      <c r="AP111" s="44"/>
      <c r="AQ111" s="44"/>
      <c r="AR111" s="44"/>
      <c r="AS111" s="44"/>
      <c r="AT111" s="44"/>
      <c r="AU111" s="44"/>
      <c r="AV111" s="45"/>
      <c r="AW111" s="46"/>
      <c r="AX111" s="46"/>
      <c r="AY111" s="46"/>
      <c r="AZ111" s="46"/>
      <c r="BA111" s="46"/>
      <c r="BB111" s="46"/>
      <c r="BC111" s="46"/>
    </row>
    <row r="112" ht="15.75" customHeight="1">
      <c r="A112" s="46"/>
      <c r="B112" s="59"/>
      <c r="C112" s="59"/>
      <c r="D112" s="59"/>
      <c r="E112" s="59"/>
      <c r="F112" s="59"/>
      <c r="G112" s="59"/>
      <c r="H112" s="59"/>
      <c r="I112" s="59"/>
      <c r="J112" s="59"/>
      <c r="K112" s="59"/>
      <c r="L112" s="59"/>
      <c r="M112" s="59"/>
      <c r="N112" s="59"/>
      <c r="O112" s="59"/>
      <c r="P112" s="59"/>
      <c r="Q112" s="59"/>
      <c r="R112" s="59"/>
      <c r="S112" s="59"/>
      <c r="T112" s="59"/>
      <c r="U112" s="59"/>
      <c r="V112" s="59"/>
      <c r="W112" s="59"/>
      <c r="X112" s="45"/>
      <c r="Y112" s="45"/>
      <c r="Z112" s="45"/>
      <c r="AA112" s="45"/>
      <c r="AB112" s="45"/>
      <c r="AC112" s="45"/>
      <c r="AD112" s="44"/>
      <c r="AE112" s="44"/>
      <c r="AF112" s="44"/>
      <c r="AG112" s="44"/>
      <c r="AH112" s="44"/>
      <c r="AI112" s="44"/>
      <c r="AJ112" s="44"/>
      <c r="AK112" s="44"/>
      <c r="AL112" s="44"/>
      <c r="AM112" s="44"/>
      <c r="AN112" s="44"/>
      <c r="AO112" s="44"/>
      <c r="AP112" s="44"/>
      <c r="AQ112" s="44"/>
      <c r="AR112" s="44"/>
      <c r="AS112" s="44"/>
      <c r="AT112" s="44"/>
      <c r="AU112" s="44"/>
      <c r="AV112" s="45"/>
      <c r="AW112" s="46"/>
      <c r="AX112" s="46"/>
      <c r="AY112" s="46"/>
      <c r="AZ112" s="46"/>
      <c r="BA112" s="46"/>
      <c r="BB112" s="46"/>
      <c r="BC112" s="46"/>
    </row>
    <row r="113" ht="15.75" customHeight="1">
      <c r="A113" s="46"/>
      <c r="B113" s="59"/>
      <c r="C113" s="59"/>
      <c r="D113" s="59"/>
      <c r="E113" s="59"/>
      <c r="F113" s="59"/>
      <c r="G113" s="59"/>
      <c r="H113" s="59"/>
      <c r="I113" s="59"/>
      <c r="J113" s="59"/>
      <c r="K113" s="59"/>
      <c r="L113" s="59"/>
      <c r="M113" s="59"/>
      <c r="N113" s="59"/>
      <c r="O113" s="59"/>
      <c r="P113" s="59"/>
      <c r="Q113" s="59"/>
      <c r="R113" s="59"/>
      <c r="S113" s="59"/>
      <c r="T113" s="59"/>
      <c r="U113" s="59"/>
      <c r="V113" s="59"/>
      <c r="W113" s="59"/>
      <c r="X113" s="45"/>
      <c r="Y113" s="45"/>
      <c r="Z113" s="45"/>
      <c r="AA113" s="45"/>
      <c r="AB113" s="45"/>
      <c r="AC113" s="45"/>
      <c r="AD113" s="44"/>
      <c r="AE113" s="44"/>
      <c r="AF113" s="44"/>
      <c r="AG113" s="44"/>
      <c r="AH113" s="44"/>
      <c r="AI113" s="44"/>
      <c r="AJ113" s="44"/>
      <c r="AK113" s="44"/>
      <c r="AL113" s="44"/>
      <c r="AM113" s="44"/>
      <c r="AN113" s="44"/>
      <c r="AO113" s="44"/>
      <c r="AP113" s="44"/>
      <c r="AQ113" s="44"/>
      <c r="AR113" s="44"/>
      <c r="AS113" s="44"/>
      <c r="AT113" s="44"/>
      <c r="AU113" s="44"/>
      <c r="AV113" s="45"/>
      <c r="AW113" s="46"/>
      <c r="AX113" s="46"/>
      <c r="AY113" s="46"/>
      <c r="AZ113" s="46"/>
      <c r="BA113" s="46"/>
      <c r="BB113" s="46"/>
      <c r="BC113" s="46"/>
    </row>
    <row r="114" ht="15.75" customHeight="1">
      <c r="A114" s="46"/>
      <c r="B114" s="59"/>
      <c r="C114" s="59"/>
      <c r="D114" s="59"/>
      <c r="E114" s="59"/>
      <c r="F114" s="59"/>
      <c r="G114" s="59"/>
      <c r="H114" s="59"/>
      <c r="I114" s="59"/>
      <c r="J114" s="59"/>
      <c r="K114" s="59"/>
      <c r="L114" s="59"/>
      <c r="M114" s="59"/>
      <c r="N114" s="59"/>
      <c r="O114" s="59"/>
      <c r="P114" s="59"/>
      <c r="Q114" s="59"/>
      <c r="R114" s="59"/>
      <c r="S114" s="59"/>
      <c r="T114" s="59"/>
      <c r="U114" s="59"/>
      <c r="V114" s="59"/>
      <c r="W114" s="59"/>
      <c r="X114" s="45"/>
      <c r="Y114" s="45"/>
      <c r="Z114" s="45"/>
      <c r="AA114" s="45"/>
      <c r="AB114" s="45"/>
      <c r="AC114" s="45"/>
      <c r="AD114" s="44"/>
      <c r="AE114" s="44"/>
      <c r="AF114" s="44"/>
      <c r="AG114" s="44"/>
      <c r="AH114" s="44"/>
      <c r="AI114" s="44"/>
      <c r="AJ114" s="44"/>
      <c r="AK114" s="44"/>
      <c r="AL114" s="44"/>
      <c r="AM114" s="44"/>
      <c r="AN114" s="44"/>
      <c r="AO114" s="44"/>
      <c r="AP114" s="44"/>
      <c r="AQ114" s="44"/>
      <c r="AR114" s="44"/>
      <c r="AS114" s="44"/>
      <c r="AT114" s="44"/>
      <c r="AU114" s="44"/>
      <c r="AV114" s="45"/>
      <c r="AW114" s="46"/>
      <c r="AX114" s="46"/>
      <c r="AY114" s="46"/>
      <c r="AZ114" s="46"/>
      <c r="BA114" s="46"/>
      <c r="BB114" s="46"/>
      <c r="BC114" s="46"/>
    </row>
    <row r="115" ht="15.75" customHeight="1">
      <c r="A115" s="46"/>
      <c r="B115" s="59"/>
      <c r="C115" s="59"/>
      <c r="D115" s="59"/>
      <c r="E115" s="59"/>
      <c r="F115" s="59"/>
      <c r="G115" s="59"/>
      <c r="H115" s="59"/>
      <c r="I115" s="59"/>
      <c r="J115" s="59"/>
      <c r="K115" s="59"/>
      <c r="L115" s="59"/>
      <c r="M115" s="59"/>
      <c r="N115" s="59"/>
      <c r="O115" s="59"/>
      <c r="P115" s="59"/>
      <c r="Q115" s="59"/>
      <c r="R115" s="59"/>
      <c r="S115" s="59"/>
      <c r="T115" s="59"/>
      <c r="U115" s="59"/>
      <c r="V115" s="59"/>
      <c r="W115" s="59"/>
      <c r="X115" s="45"/>
      <c r="Y115" s="45"/>
      <c r="Z115" s="45"/>
      <c r="AA115" s="45"/>
      <c r="AB115" s="45"/>
      <c r="AC115" s="45"/>
      <c r="AD115" s="44"/>
      <c r="AE115" s="44"/>
      <c r="AF115" s="44"/>
      <c r="AG115" s="44"/>
      <c r="AH115" s="44"/>
      <c r="AI115" s="44"/>
      <c r="AJ115" s="44"/>
      <c r="AK115" s="44"/>
      <c r="AL115" s="44"/>
      <c r="AM115" s="44"/>
      <c r="AN115" s="44"/>
      <c r="AO115" s="44"/>
      <c r="AP115" s="44"/>
      <c r="AQ115" s="44"/>
      <c r="AR115" s="44"/>
      <c r="AS115" s="44"/>
      <c r="AT115" s="44"/>
      <c r="AU115" s="44"/>
      <c r="AV115" s="45"/>
      <c r="AW115" s="46"/>
      <c r="AX115" s="46"/>
      <c r="AY115" s="46"/>
      <c r="AZ115" s="46"/>
      <c r="BA115" s="46"/>
      <c r="BB115" s="46"/>
      <c r="BC115" s="46"/>
    </row>
    <row r="116" ht="15.75" customHeight="1">
      <c r="A116" s="46"/>
      <c r="B116" s="59"/>
      <c r="C116" s="59"/>
      <c r="D116" s="59"/>
      <c r="E116" s="59"/>
      <c r="F116" s="59"/>
      <c r="G116" s="59"/>
      <c r="H116" s="59"/>
      <c r="I116" s="59"/>
      <c r="J116" s="59"/>
      <c r="K116" s="59"/>
      <c r="L116" s="59"/>
      <c r="M116" s="59"/>
      <c r="N116" s="59"/>
      <c r="O116" s="59"/>
      <c r="P116" s="59"/>
      <c r="Q116" s="59"/>
      <c r="R116" s="59"/>
      <c r="S116" s="59"/>
      <c r="T116" s="59"/>
      <c r="U116" s="59"/>
      <c r="V116" s="59"/>
      <c r="W116" s="59"/>
      <c r="X116" s="45"/>
      <c r="Y116" s="45"/>
      <c r="Z116" s="45"/>
      <c r="AA116" s="45"/>
      <c r="AB116" s="45"/>
      <c r="AC116" s="45"/>
      <c r="AD116" s="44"/>
      <c r="AE116" s="44"/>
      <c r="AF116" s="44"/>
      <c r="AG116" s="44"/>
      <c r="AH116" s="44"/>
      <c r="AI116" s="44"/>
      <c r="AJ116" s="44"/>
      <c r="AK116" s="44"/>
      <c r="AL116" s="44"/>
      <c r="AM116" s="44"/>
      <c r="AN116" s="44"/>
      <c r="AO116" s="44"/>
      <c r="AP116" s="44"/>
      <c r="AQ116" s="44"/>
      <c r="AR116" s="44"/>
      <c r="AS116" s="44"/>
      <c r="AT116" s="44"/>
      <c r="AU116" s="44"/>
      <c r="AV116" s="45"/>
      <c r="AW116" s="46"/>
      <c r="AX116" s="46"/>
      <c r="AY116" s="46"/>
      <c r="AZ116" s="46"/>
      <c r="BA116" s="46"/>
      <c r="BB116" s="46"/>
      <c r="BC116" s="46"/>
    </row>
    <row r="117" ht="15.75" customHeight="1">
      <c r="A117" s="46"/>
      <c r="B117" s="59"/>
      <c r="C117" s="59"/>
      <c r="D117" s="59"/>
      <c r="E117" s="59"/>
      <c r="F117" s="59"/>
      <c r="G117" s="59"/>
      <c r="H117" s="59"/>
      <c r="I117" s="59"/>
      <c r="J117" s="59"/>
      <c r="K117" s="59"/>
      <c r="L117" s="59"/>
      <c r="M117" s="59"/>
      <c r="N117" s="59"/>
      <c r="O117" s="59"/>
      <c r="P117" s="59"/>
      <c r="Q117" s="59"/>
      <c r="R117" s="59"/>
      <c r="S117" s="59"/>
      <c r="T117" s="59"/>
      <c r="U117" s="59"/>
      <c r="V117" s="59"/>
      <c r="W117" s="59"/>
      <c r="X117" s="45"/>
      <c r="Y117" s="45"/>
      <c r="Z117" s="45"/>
      <c r="AA117" s="45"/>
      <c r="AB117" s="45"/>
      <c r="AC117" s="45"/>
      <c r="AD117" s="44"/>
      <c r="AE117" s="44"/>
      <c r="AF117" s="44"/>
      <c r="AG117" s="44"/>
      <c r="AH117" s="44"/>
      <c r="AI117" s="44"/>
      <c r="AJ117" s="44"/>
      <c r="AK117" s="44"/>
      <c r="AL117" s="44"/>
      <c r="AM117" s="44"/>
      <c r="AN117" s="44"/>
      <c r="AO117" s="44"/>
      <c r="AP117" s="44"/>
      <c r="AQ117" s="44"/>
      <c r="AR117" s="44"/>
      <c r="AS117" s="44"/>
      <c r="AT117" s="44"/>
      <c r="AU117" s="44"/>
      <c r="AV117" s="45"/>
      <c r="AW117" s="46"/>
      <c r="AX117" s="46"/>
      <c r="AY117" s="46"/>
      <c r="AZ117" s="46"/>
      <c r="BA117" s="46"/>
      <c r="BB117" s="46"/>
      <c r="BC117" s="46"/>
    </row>
    <row r="118" ht="15.75" customHeight="1">
      <c r="A118" s="46"/>
      <c r="B118" s="59"/>
      <c r="C118" s="59"/>
      <c r="D118" s="59"/>
      <c r="E118" s="59"/>
      <c r="F118" s="59"/>
      <c r="G118" s="59"/>
      <c r="H118" s="59"/>
      <c r="I118" s="59"/>
      <c r="J118" s="59"/>
      <c r="K118" s="59"/>
      <c r="L118" s="59"/>
      <c r="M118" s="59"/>
      <c r="N118" s="59"/>
      <c r="O118" s="59"/>
      <c r="P118" s="59"/>
      <c r="Q118" s="59"/>
      <c r="R118" s="59"/>
      <c r="S118" s="59"/>
      <c r="T118" s="59"/>
      <c r="U118" s="59"/>
      <c r="V118" s="59"/>
      <c r="W118" s="59"/>
      <c r="X118" s="45"/>
      <c r="Y118" s="45"/>
      <c r="Z118" s="45"/>
      <c r="AA118" s="45"/>
      <c r="AB118" s="45"/>
      <c r="AC118" s="45"/>
      <c r="AD118" s="44"/>
      <c r="AE118" s="44"/>
      <c r="AF118" s="44"/>
      <c r="AG118" s="44"/>
      <c r="AH118" s="44"/>
      <c r="AI118" s="44"/>
      <c r="AJ118" s="44"/>
      <c r="AK118" s="44"/>
      <c r="AL118" s="44"/>
      <c r="AM118" s="44"/>
      <c r="AN118" s="44"/>
      <c r="AO118" s="44"/>
      <c r="AP118" s="44"/>
      <c r="AQ118" s="44"/>
      <c r="AR118" s="44"/>
      <c r="AS118" s="44"/>
      <c r="AT118" s="44"/>
      <c r="AU118" s="44"/>
      <c r="AV118" s="45"/>
      <c r="AW118" s="46"/>
      <c r="AX118" s="46"/>
      <c r="AY118" s="46"/>
      <c r="AZ118" s="46"/>
      <c r="BA118" s="46"/>
      <c r="BB118" s="46"/>
      <c r="BC118" s="46"/>
    </row>
    <row r="119" ht="15.75" customHeight="1">
      <c r="A119" s="46"/>
      <c r="B119" s="59"/>
      <c r="C119" s="59"/>
      <c r="D119" s="59"/>
      <c r="E119" s="59"/>
      <c r="F119" s="59"/>
      <c r="G119" s="59"/>
      <c r="H119" s="59"/>
      <c r="I119" s="59"/>
      <c r="J119" s="59"/>
      <c r="K119" s="59"/>
      <c r="L119" s="59"/>
      <c r="M119" s="59"/>
      <c r="N119" s="59"/>
      <c r="O119" s="59"/>
      <c r="P119" s="59"/>
      <c r="Q119" s="59"/>
      <c r="R119" s="59"/>
      <c r="S119" s="59"/>
      <c r="T119" s="59"/>
      <c r="U119" s="59"/>
      <c r="V119" s="59"/>
      <c r="W119" s="59"/>
      <c r="X119" s="45"/>
      <c r="Y119" s="45"/>
      <c r="Z119" s="45"/>
      <c r="AA119" s="45"/>
      <c r="AB119" s="45"/>
      <c r="AC119" s="45"/>
      <c r="AD119" s="44"/>
      <c r="AE119" s="44"/>
      <c r="AF119" s="44"/>
      <c r="AG119" s="44"/>
      <c r="AH119" s="44"/>
      <c r="AI119" s="44"/>
      <c r="AJ119" s="44"/>
      <c r="AK119" s="44"/>
      <c r="AL119" s="44"/>
      <c r="AM119" s="44"/>
      <c r="AN119" s="44"/>
      <c r="AO119" s="44"/>
      <c r="AP119" s="44"/>
      <c r="AQ119" s="44"/>
      <c r="AR119" s="44"/>
      <c r="AS119" s="44"/>
      <c r="AT119" s="44"/>
      <c r="AU119" s="44"/>
      <c r="AV119" s="45"/>
      <c r="AW119" s="46"/>
      <c r="AX119" s="46"/>
      <c r="AY119" s="46"/>
      <c r="AZ119" s="46"/>
      <c r="BA119" s="46"/>
      <c r="BB119" s="46"/>
      <c r="BC119" s="46"/>
    </row>
    <row r="120" ht="15.75" customHeight="1">
      <c r="A120" s="46"/>
      <c r="B120" s="59"/>
      <c r="C120" s="59"/>
      <c r="D120" s="59"/>
      <c r="E120" s="59"/>
      <c r="F120" s="59"/>
      <c r="G120" s="59"/>
      <c r="H120" s="59"/>
      <c r="I120" s="59"/>
      <c r="J120" s="59"/>
      <c r="K120" s="59"/>
      <c r="L120" s="59"/>
      <c r="M120" s="59"/>
      <c r="N120" s="59"/>
      <c r="O120" s="59"/>
      <c r="P120" s="59"/>
      <c r="Q120" s="59"/>
      <c r="R120" s="59"/>
      <c r="S120" s="59"/>
      <c r="T120" s="59"/>
      <c r="U120" s="59"/>
      <c r="V120" s="59"/>
      <c r="W120" s="59"/>
      <c r="X120" s="45"/>
      <c r="Y120" s="45"/>
      <c r="Z120" s="45"/>
      <c r="AA120" s="45"/>
      <c r="AB120" s="45"/>
      <c r="AC120" s="45"/>
      <c r="AD120" s="44"/>
      <c r="AE120" s="44"/>
      <c r="AF120" s="44"/>
      <c r="AG120" s="44"/>
      <c r="AH120" s="44"/>
      <c r="AI120" s="44"/>
      <c r="AJ120" s="44"/>
      <c r="AK120" s="44"/>
      <c r="AL120" s="44"/>
      <c r="AM120" s="44"/>
      <c r="AN120" s="44"/>
      <c r="AO120" s="44"/>
      <c r="AP120" s="44"/>
      <c r="AQ120" s="44"/>
      <c r="AR120" s="44"/>
      <c r="AS120" s="44"/>
      <c r="AT120" s="44"/>
      <c r="AU120" s="44"/>
      <c r="AV120" s="45"/>
      <c r="AW120" s="46"/>
      <c r="AX120" s="46"/>
      <c r="AY120" s="46"/>
      <c r="AZ120" s="46"/>
      <c r="BA120" s="46"/>
      <c r="BB120" s="46"/>
      <c r="BC120" s="46"/>
    </row>
    <row r="121" ht="15.75" customHeight="1">
      <c r="A121" s="46"/>
      <c r="B121" s="59"/>
      <c r="C121" s="59"/>
      <c r="D121" s="59"/>
      <c r="E121" s="59"/>
      <c r="F121" s="59"/>
      <c r="G121" s="59"/>
      <c r="H121" s="59"/>
      <c r="I121" s="59"/>
      <c r="J121" s="59"/>
      <c r="K121" s="59"/>
      <c r="L121" s="59"/>
      <c r="M121" s="59"/>
      <c r="N121" s="59"/>
      <c r="O121" s="59"/>
      <c r="P121" s="59"/>
      <c r="Q121" s="59"/>
      <c r="R121" s="59"/>
      <c r="S121" s="59"/>
      <c r="T121" s="59"/>
      <c r="U121" s="59"/>
      <c r="V121" s="59"/>
      <c r="W121" s="59"/>
      <c r="X121" s="45"/>
      <c r="Y121" s="45"/>
      <c r="Z121" s="45"/>
      <c r="AA121" s="45"/>
      <c r="AB121" s="45"/>
      <c r="AC121" s="45"/>
      <c r="AD121" s="44"/>
      <c r="AE121" s="44"/>
      <c r="AF121" s="44"/>
      <c r="AG121" s="44"/>
      <c r="AH121" s="44"/>
      <c r="AI121" s="44"/>
      <c r="AJ121" s="44"/>
      <c r="AK121" s="44"/>
      <c r="AL121" s="44"/>
      <c r="AM121" s="44"/>
      <c r="AN121" s="44"/>
      <c r="AO121" s="44"/>
      <c r="AP121" s="44"/>
      <c r="AQ121" s="44"/>
      <c r="AR121" s="44"/>
      <c r="AS121" s="44"/>
      <c r="AT121" s="44"/>
      <c r="AU121" s="44"/>
      <c r="AV121" s="45"/>
      <c r="AW121" s="46"/>
      <c r="AX121" s="46"/>
      <c r="AY121" s="46"/>
      <c r="AZ121" s="46"/>
      <c r="BA121" s="46"/>
      <c r="BB121" s="46"/>
      <c r="BC121" s="46"/>
    </row>
    <row r="122" ht="15.75" customHeight="1">
      <c r="A122" s="46"/>
      <c r="B122" s="59"/>
      <c r="C122" s="59"/>
      <c r="D122" s="59"/>
      <c r="E122" s="59"/>
      <c r="F122" s="59"/>
      <c r="G122" s="59"/>
      <c r="H122" s="59"/>
      <c r="I122" s="59"/>
      <c r="J122" s="59"/>
      <c r="K122" s="59"/>
      <c r="L122" s="59"/>
      <c r="M122" s="59"/>
      <c r="N122" s="59"/>
      <c r="O122" s="59"/>
      <c r="P122" s="59"/>
      <c r="Q122" s="59"/>
      <c r="R122" s="59"/>
      <c r="S122" s="59"/>
      <c r="T122" s="59"/>
      <c r="U122" s="59"/>
      <c r="V122" s="59"/>
      <c r="W122" s="59"/>
      <c r="X122" s="45"/>
      <c r="Y122" s="45"/>
      <c r="Z122" s="45"/>
      <c r="AA122" s="45"/>
      <c r="AB122" s="45"/>
      <c r="AC122" s="45"/>
      <c r="AD122" s="44"/>
      <c r="AE122" s="44"/>
      <c r="AF122" s="44"/>
      <c r="AG122" s="44"/>
      <c r="AH122" s="44"/>
      <c r="AI122" s="44"/>
      <c r="AJ122" s="44"/>
      <c r="AK122" s="44"/>
      <c r="AL122" s="44"/>
      <c r="AM122" s="44"/>
      <c r="AN122" s="44"/>
      <c r="AO122" s="44"/>
      <c r="AP122" s="44"/>
      <c r="AQ122" s="44"/>
      <c r="AR122" s="44"/>
      <c r="AS122" s="44"/>
      <c r="AT122" s="44"/>
      <c r="AU122" s="44"/>
      <c r="AV122" s="45"/>
      <c r="AW122" s="46"/>
      <c r="AX122" s="46"/>
      <c r="AY122" s="46"/>
      <c r="AZ122" s="46"/>
      <c r="BA122" s="46"/>
      <c r="BB122" s="46"/>
      <c r="BC122" s="46"/>
    </row>
    <row r="123" ht="15.75" customHeight="1">
      <c r="A123" s="46"/>
      <c r="B123" s="59"/>
      <c r="C123" s="59"/>
      <c r="D123" s="59"/>
      <c r="E123" s="59"/>
      <c r="F123" s="59"/>
      <c r="G123" s="59"/>
      <c r="H123" s="59"/>
      <c r="I123" s="59"/>
      <c r="J123" s="59"/>
      <c r="K123" s="59"/>
      <c r="L123" s="59"/>
      <c r="M123" s="59"/>
      <c r="N123" s="59"/>
      <c r="O123" s="59"/>
      <c r="P123" s="59"/>
      <c r="Q123" s="59"/>
      <c r="R123" s="59"/>
      <c r="S123" s="59"/>
      <c r="T123" s="59"/>
      <c r="U123" s="59"/>
      <c r="V123" s="59"/>
      <c r="W123" s="59"/>
      <c r="X123" s="45"/>
      <c r="Y123" s="45"/>
      <c r="Z123" s="45"/>
      <c r="AA123" s="45"/>
      <c r="AB123" s="45"/>
      <c r="AC123" s="45"/>
      <c r="AD123" s="44"/>
      <c r="AE123" s="44"/>
      <c r="AF123" s="44"/>
      <c r="AG123" s="44"/>
      <c r="AH123" s="44"/>
      <c r="AI123" s="44"/>
      <c r="AJ123" s="44"/>
      <c r="AK123" s="44"/>
      <c r="AL123" s="44"/>
      <c r="AM123" s="44"/>
      <c r="AN123" s="44"/>
      <c r="AO123" s="44"/>
      <c r="AP123" s="44"/>
      <c r="AQ123" s="44"/>
      <c r="AR123" s="44"/>
      <c r="AS123" s="44"/>
      <c r="AT123" s="44"/>
      <c r="AU123" s="44"/>
      <c r="AV123" s="45"/>
      <c r="AW123" s="46"/>
      <c r="AX123" s="46"/>
      <c r="AY123" s="46"/>
      <c r="AZ123" s="46"/>
      <c r="BA123" s="46"/>
      <c r="BB123" s="46"/>
      <c r="BC123" s="46"/>
    </row>
    <row r="124" ht="15.75" customHeight="1">
      <c r="A124" s="46"/>
      <c r="B124" s="59"/>
      <c r="C124" s="59"/>
      <c r="D124" s="59"/>
      <c r="E124" s="59"/>
      <c r="F124" s="59"/>
      <c r="G124" s="59"/>
      <c r="H124" s="59"/>
      <c r="I124" s="59"/>
      <c r="J124" s="59"/>
      <c r="K124" s="59"/>
      <c r="L124" s="59"/>
      <c r="M124" s="59"/>
      <c r="N124" s="59"/>
      <c r="O124" s="59"/>
      <c r="P124" s="59"/>
      <c r="Q124" s="59"/>
      <c r="R124" s="59"/>
      <c r="S124" s="59"/>
      <c r="T124" s="59"/>
      <c r="U124" s="59"/>
      <c r="V124" s="59"/>
      <c r="W124" s="59"/>
      <c r="X124" s="45"/>
      <c r="Y124" s="45"/>
      <c r="Z124" s="45"/>
      <c r="AA124" s="45"/>
      <c r="AB124" s="45"/>
      <c r="AC124" s="45"/>
      <c r="AD124" s="44"/>
      <c r="AE124" s="44"/>
      <c r="AF124" s="44"/>
      <c r="AG124" s="44"/>
      <c r="AH124" s="44"/>
      <c r="AI124" s="44"/>
      <c r="AJ124" s="44"/>
      <c r="AK124" s="44"/>
      <c r="AL124" s="44"/>
      <c r="AM124" s="44"/>
      <c r="AN124" s="44"/>
      <c r="AO124" s="44"/>
      <c r="AP124" s="44"/>
      <c r="AQ124" s="44"/>
      <c r="AR124" s="44"/>
      <c r="AS124" s="44"/>
      <c r="AT124" s="44"/>
      <c r="AU124" s="44"/>
      <c r="AV124" s="45"/>
      <c r="AW124" s="46"/>
      <c r="AX124" s="46"/>
      <c r="AY124" s="46"/>
      <c r="AZ124" s="46"/>
      <c r="BA124" s="46"/>
      <c r="BB124" s="46"/>
      <c r="BC124" s="46"/>
    </row>
    <row r="125" ht="15.75" customHeight="1">
      <c r="A125" s="46"/>
      <c r="B125" s="59"/>
      <c r="C125" s="59"/>
      <c r="D125" s="59"/>
      <c r="E125" s="59"/>
      <c r="F125" s="59"/>
      <c r="G125" s="59"/>
      <c r="H125" s="59"/>
      <c r="I125" s="59"/>
      <c r="J125" s="59"/>
      <c r="K125" s="59"/>
      <c r="L125" s="59"/>
      <c r="M125" s="59"/>
      <c r="N125" s="59"/>
      <c r="O125" s="59"/>
      <c r="P125" s="59"/>
      <c r="Q125" s="59"/>
      <c r="R125" s="59"/>
      <c r="S125" s="59"/>
      <c r="T125" s="59"/>
      <c r="U125" s="59"/>
      <c r="V125" s="59"/>
      <c r="W125" s="59"/>
      <c r="X125" s="45"/>
      <c r="Y125" s="45"/>
      <c r="Z125" s="45"/>
      <c r="AA125" s="45"/>
      <c r="AB125" s="45"/>
      <c r="AC125" s="45"/>
      <c r="AD125" s="44"/>
      <c r="AE125" s="44"/>
      <c r="AF125" s="44"/>
      <c r="AG125" s="44"/>
      <c r="AH125" s="44"/>
      <c r="AI125" s="44"/>
      <c r="AJ125" s="44"/>
      <c r="AK125" s="44"/>
      <c r="AL125" s="44"/>
      <c r="AM125" s="44"/>
      <c r="AN125" s="44"/>
      <c r="AO125" s="44"/>
      <c r="AP125" s="44"/>
      <c r="AQ125" s="44"/>
      <c r="AR125" s="44"/>
      <c r="AS125" s="44"/>
      <c r="AT125" s="44"/>
      <c r="AU125" s="44"/>
      <c r="AV125" s="45"/>
      <c r="AW125" s="46"/>
      <c r="AX125" s="46"/>
      <c r="AY125" s="46"/>
      <c r="AZ125" s="46"/>
      <c r="BA125" s="46"/>
      <c r="BB125" s="46"/>
      <c r="BC125" s="46"/>
    </row>
    <row r="126" ht="15.75" customHeight="1">
      <c r="A126" s="46"/>
      <c r="B126" s="59"/>
      <c r="C126" s="59"/>
      <c r="D126" s="59"/>
      <c r="E126" s="59"/>
      <c r="F126" s="59"/>
      <c r="G126" s="59"/>
      <c r="H126" s="59"/>
      <c r="I126" s="59"/>
      <c r="J126" s="59"/>
      <c r="K126" s="59"/>
      <c r="L126" s="59"/>
      <c r="M126" s="59"/>
      <c r="N126" s="59"/>
      <c r="O126" s="59"/>
      <c r="P126" s="59"/>
      <c r="Q126" s="59"/>
      <c r="R126" s="59"/>
      <c r="S126" s="59"/>
      <c r="T126" s="59"/>
      <c r="U126" s="59"/>
      <c r="V126" s="59"/>
      <c r="W126" s="59"/>
      <c r="X126" s="45"/>
      <c r="Y126" s="45"/>
      <c r="Z126" s="45"/>
      <c r="AA126" s="45"/>
      <c r="AB126" s="45"/>
      <c r="AC126" s="45"/>
      <c r="AD126" s="44"/>
      <c r="AE126" s="44"/>
      <c r="AF126" s="44"/>
      <c r="AG126" s="44"/>
      <c r="AH126" s="44"/>
      <c r="AI126" s="44"/>
      <c r="AJ126" s="44"/>
      <c r="AK126" s="44"/>
      <c r="AL126" s="44"/>
      <c r="AM126" s="44"/>
      <c r="AN126" s="44"/>
      <c r="AO126" s="44"/>
      <c r="AP126" s="44"/>
      <c r="AQ126" s="44"/>
      <c r="AR126" s="44"/>
      <c r="AS126" s="44"/>
      <c r="AT126" s="44"/>
      <c r="AU126" s="44"/>
      <c r="AV126" s="45"/>
      <c r="AW126" s="46"/>
      <c r="AX126" s="46"/>
      <c r="AY126" s="46"/>
      <c r="AZ126" s="46"/>
      <c r="BA126" s="46"/>
      <c r="BB126" s="46"/>
      <c r="BC126" s="46"/>
    </row>
    <row r="127" ht="15.75" customHeight="1">
      <c r="A127" s="46"/>
      <c r="B127" s="59"/>
      <c r="C127" s="59"/>
      <c r="D127" s="59"/>
      <c r="E127" s="59"/>
      <c r="F127" s="59"/>
      <c r="G127" s="59"/>
      <c r="H127" s="59"/>
      <c r="I127" s="59"/>
      <c r="J127" s="59"/>
      <c r="K127" s="59"/>
      <c r="L127" s="59"/>
      <c r="M127" s="59"/>
      <c r="N127" s="59"/>
      <c r="O127" s="59"/>
      <c r="P127" s="59"/>
      <c r="Q127" s="59"/>
      <c r="R127" s="59"/>
      <c r="S127" s="59"/>
      <c r="T127" s="59"/>
      <c r="U127" s="59"/>
      <c r="V127" s="59"/>
      <c r="W127" s="59"/>
      <c r="X127" s="45"/>
      <c r="Y127" s="45"/>
      <c r="Z127" s="45"/>
      <c r="AA127" s="45"/>
      <c r="AB127" s="45"/>
      <c r="AC127" s="45"/>
      <c r="AD127" s="44"/>
      <c r="AE127" s="44"/>
      <c r="AF127" s="44"/>
      <c r="AG127" s="44"/>
      <c r="AH127" s="44"/>
      <c r="AI127" s="44"/>
      <c r="AJ127" s="44"/>
      <c r="AK127" s="44"/>
      <c r="AL127" s="44"/>
      <c r="AM127" s="44"/>
      <c r="AN127" s="44"/>
      <c r="AO127" s="44"/>
      <c r="AP127" s="44"/>
      <c r="AQ127" s="44"/>
      <c r="AR127" s="44"/>
      <c r="AS127" s="44"/>
      <c r="AT127" s="44"/>
      <c r="AU127" s="44"/>
      <c r="AV127" s="45"/>
      <c r="AW127" s="46"/>
      <c r="AX127" s="46"/>
      <c r="AY127" s="46"/>
      <c r="AZ127" s="46"/>
      <c r="BA127" s="46"/>
      <c r="BB127" s="46"/>
      <c r="BC127" s="46"/>
    </row>
    <row r="128" ht="15.75" customHeight="1">
      <c r="A128" s="46"/>
      <c r="B128" s="59"/>
      <c r="C128" s="59"/>
      <c r="D128" s="59"/>
      <c r="E128" s="59"/>
      <c r="F128" s="59"/>
      <c r="G128" s="59"/>
      <c r="H128" s="59"/>
      <c r="I128" s="59"/>
      <c r="J128" s="59"/>
      <c r="K128" s="59"/>
      <c r="L128" s="59"/>
      <c r="M128" s="59"/>
      <c r="N128" s="59"/>
      <c r="O128" s="59"/>
      <c r="P128" s="59"/>
      <c r="Q128" s="59"/>
      <c r="R128" s="59"/>
      <c r="S128" s="59"/>
      <c r="T128" s="59"/>
      <c r="U128" s="59"/>
      <c r="V128" s="59"/>
      <c r="W128" s="59"/>
      <c r="X128" s="45"/>
      <c r="Y128" s="45"/>
      <c r="Z128" s="45"/>
      <c r="AA128" s="45"/>
      <c r="AB128" s="45"/>
      <c r="AC128" s="45"/>
      <c r="AD128" s="44"/>
      <c r="AE128" s="44"/>
      <c r="AF128" s="44"/>
      <c r="AG128" s="44"/>
      <c r="AH128" s="44"/>
      <c r="AI128" s="44"/>
      <c r="AJ128" s="44"/>
      <c r="AK128" s="44"/>
      <c r="AL128" s="44"/>
      <c r="AM128" s="44"/>
      <c r="AN128" s="44"/>
      <c r="AO128" s="44"/>
      <c r="AP128" s="44"/>
      <c r="AQ128" s="44"/>
      <c r="AR128" s="44"/>
      <c r="AS128" s="44"/>
      <c r="AT128" s="44"/>
      <c r="AU128" s="44"/>
      <c r="AV128" s="45"/>
      <c r="AW128" s="46"/>
      <c r="AX128" s="46"/>
      <c r="AY128" s="46"/>
      <c r="AZ128" s="46"/>
      <c r="BA128" s="46"/>
      <c r="BB128" s="46"/>
      <c r="BC128" s="46"/>
    </row>
    <row r="129" ht="15.75" customHeight="1">
      <c r="A129" s="46"/>
      <c r="B129" s="59"/>
      <c r="C129" s="59"/>
      <c r="D129" s="59"/>
      <c r="E129" s="59"/>
      <c r="F129" s="59"/>
      <c r="G129" s="59"/>
      <c r="H129" s="59"/>
      <c r="I129" s="59"/>
      <c r="J129" s="59"/>
      <c r="K129" s="59"/>
      <c r="L129" s="59"/>
      <c r="M129" s="59"/>
      <c r="N129" s="59"/>
      <c r="O129" s="59"/>
      <c r="P129" s="59"/>
      <c r="Q129" s="59"/>
      <c r="R129" s="59"/>
      <c r="S129" s="59"/>
      <c r="T129" s="59"/>
      <c r="U129" s="59"/>
      <c r="V129" s="59"/>
      <c r="W129" s="59"/>
      <c r="X129" s="45"/>
      <c r="Y129" s="45"/>
      <c r="Z129" s="45"/>
      <c r="AA129" s="45"/>
      <c r="AB129" s="45"/>
      <c r="AC129" s="45"/>
      <c r="AD129" s="44"/>
      <c r="AE129" s="44"/>
      <c r="AF129" s="44"/>
      <c r="AG129" s="44"/>
      <c r="AH129" s="44"/>
      <c r="AI129" s="44"/>
      <c r="AJ129" s="44"/>
      <c r="AK129" s="44"/>
      <c r="AL129" s="44"/>
      <c r="AM129" s="44"/>
      <c r="AN129" s="44"/>
      <c r="AO129" s="44"/>
      <c r="AP129" s="44"/>
      <c r="AQ129" s="44"/>
      <c r="AR129" s="44"/>
      <c r="AS129" s="44"/>
      <c r="AT129" s="44"/>
      <c r="AU129" s="44"/>
      <c r="AV129" s="45"/>
      <c r="AW129" s="46"/>
      <c r="AX129" s="46"/>
      <c r="AY129" s="46"/>
      <c r="AZ129" s="46"/>
      <c r="BA129" s="46"/>
      <c r="BB129" s="46"/>
      <c r="BC129" s="46"/>
    </row>
    <row r="130" ht="15.75" customHeight="1">
      <c r="A130" s="46"/>
      <c r="B130" s="59"/>
      <c r="C130" s="59"/>
      <c r="D130" s="59"/>
      <c r="E130" s="59"/>
      <c r="F130" s="59"/>
      <c r="G130" s="59"/>
      <c r="H130" s="59"/>
      <c r="I130" s="59"/>
      <c r="J130" s="59"/>
      <c r="K130" s="59"/>
      <c r="L130" s="59"/>
      <c r="M130" s="59"/>
      <c r="N130" s="59"/>
      <c r="O130" s="59"/>
      <c r="P130" s="59"/>
      <c r="Q130" s="59"/>
      <c r="R130" s="59"/>
      <c r="S130" s="59"/>
      <c r="T130" s="59"/>
      <c r="U130" s="59"/>
      <c r="V130" s="59"/>
      <c r="W130" s="59"/>
      <c r="X130" s="45"/>
      <c r="Y130" s="45"/>
      <c r="Z130" s="45"/>
      <c r="AA130" s="45"/>
      <c r="AB130" s="45"/>
      <c r="AC130" s="45"/>
      <c r="AD130" s="44"/>
      <c r="AE130" s="44"/>
      <c r="AF130" s="44"/>
      <c r="AG130" s="44"/>
      <c r="AH130" s="44"/>
      <c r="AI130" s="44"/>
      <c r="AJ130" s="44"/>
      <c r="AK130" s="44"/>
      <c r="AL130" s="44"/>
      <c r="AM130" s="44"/>
      <c r="AN130" s="44"/>
      <c r="AO130" s="44"/>
      <c r="AP130" s="44"/>
      <c r="AQ130" s="44"/>
      <c r="AR130" s="44"/>
      <c r="AS130" s="44"/>
      <c r="AT130" s="44"/>
      <c r="AU130" s="44"/>
      <c r="AV130" s="45"/>
      <c r="AW130" s="46"/>
      <c r="AX130" s="46"/>
      <c r="AY130" s="46"/>
      <c r="AZ130" s="46"/>
      <c r="BA130" s="46"/>
      <c r="BB130" s="46"/>
      <c r="BC130" s="46"/>
    </row>
    <row r="131" ht="15.75" customHeight="1">
      <c r="A131" s="46"/>
      <c r="B131" s="59"/>
      <c r="C131" s="59"/>
      <c r="D131" s="59"/>
      <c r="E131" s="59"/>
      <c r="F131" s="59"/>
      <c r="G131" s="59"/>
      <c r="H131" s="59"/>
      <c r="I131" s="59"/>
      <c r="J131" s="59"/>
      <c r="K131" s="59"/>
      <c r="L131" s="59"/>
      <c r="M131" s="59"/>
      <c r="N131" s="59"/>
      <c r="O131" s="59"/>
      <c r="P131" s="59"/>
      <c r="Q131" s="59"/>
      <c r="R131" s="59"/>
      <c r="S131" s="59"/>
      <c r="T131" s="59"/>
      <c r="U131" s="59"/>
      <c r="V131" s="59"/>
      <c r="W131" s="59"/>
      <c r="X131" s="45"/>
      <c r="Y131" s="45"/>
      <c r="Z131" s="45"/>
      <c r="AA131" s="45"/>
      <c r="AB131" s="45"/>
      <c r="AC131" s="45"/>
      <c r="AD131" s="44"/>
      <c r="AE131" s="44"/>
      <c r="AF131" s="44"/>
      <c r="AG131" s="44"/>
      <c r="AH131" s="44"/>
      <c r="AI131" s="44"/>
      <c r="AJ131" s="44"/>
      <c r="AK131" s="44"/>
      <c r="AL131" s="44"/>
      <c r="AM131" s="44"/>
      <c r="AN131" s="44"/>
      <c r="AO131" s="44"/>
      <c r="AP131" s="44"/>
      <c r="AQ131" s="44"/>
      <c r="AR131" s="44"/>
      <c r="AS131" s="44"/>
      <c r="AT131" s="44"/>
      <c r="AU131" s="44"/>
      <c r="AV131" s="45"/>
      <c r="AW131" s="46"/>
      <c r="AX131" s="46"/>
      <c r="AY131" s="46"/>
      <c r="AZ131" s="46"/>
      <c r="BA131" s="46"/>
      <c r="BB131" s="46"/>
      <c r="BC131" s="46"/>
    </row>
    <row r="132" ht="15.75" customHeight="1">
      <c r="A132" s="46"/>
      <c r="B132" s="59"/>
      <c r="C132" s="59"/>
      <c r="D132" s="59"/>
      <c r="E132" s="59"/>
      <c r="F132" s="59"/>
      <c r="G132" s="59"/>
      <c r="H132" s="59"/>
      <c r="I132" s="59"/>
      <c r="J132" s="59"/>
      <c r="K132" s="59"/>
      <c r="L132" s="59"/>
      <c r="M132" s="59"/>
      <c r="N132" s="59"/>
      <c r="O132" s="59"/>
      <c r="P132" s="59"/>
      <c r="Q132" s="59"/>
      <c r="R132" s="59"/>
      <c r="S132" s="59"/>
      <c r="T132" s="59"/>
      <c r="U132" s="59"/>
      <c r="V132" s="59"/>
      <c r="W132" s="59"/>
      <c r="X132" s="45"/>
      <c r="Y132" s="45"/>
      <c r="Z132" s="45"/>
      <c r="AA132" s="45"/>
      <c r="AB132" s="45"/>
      <c r="AC132" s="45"/>
      <c r="AD132" s="44"/>
      <c r="AE132" s="44"/>
      <c r="AF132" s="44"/>
      <c r="AG132" s="44"/>
      <c r="AH132" s="44"/>
      <c r="AI132" s="44"/>
      <c r="AJ132" s="44"/>
      <c r="AK132" s="44"/>
      <c r="AL132" s="44"/>
      <c r="AM132" s="44"/>
      <c r="AN132" s="44"/>
      <c r="AO132" s="44"/>
      <c r="AP132" s="44"/>
      <c r="AQ132" s="44"/>
      <c r="AR132" s="44"/>
      <c r="AS132" s="44"/>
      <c r="AT132" s="44"/>
      <c r="AU132" s="44"/>
      <c r="AV132" s="45"/>
      <c r="AW132" s="46"/>
      <c r="AX132" s="46"/>
      <c r="AY132" s="46"/>
      <c r="AZ132" s="46"/>
      <c r="BA132" s="46"/>
      <c r="BB132" s="46"/>
      <c r="BC132" s="46"/>
    </row>
    <row r="133" ht="15.75" customHeight="1">
      <c r="A133" s="46"/>
      <c r="B133" s="59"/>
      <c r="C133" s="59"/>
      <c r="D133" s="59"/>
      <c r="E133" s="59"/>
      <c r="F133" s="59"/>
      <c r="G133" s="59"/>
      <c r="H133" s="59"/>
      <c r="I133" s="59"/>
      <c r="J133" s="59"/>
      <c r="K133" s="59"/>
      <c r="L133" s="59"/>
      <c r="M133" s="59"/>
      <c r="N133" s="59"/>
      <c r="O133" s="59"/>
      <c r="P133" s="59"/>
      <c r="Q133" s="59"/>
      <c r="R133" s="59"/>
      <c r="S133" s="59"/>
      <c r="T133" s="59"/>
      <c r="U133" s="59"/>
      <c r="V133" s="59"/>
      <c r="W133" s="59"/>
      <c r="X133" s="45"/>
      <c r="Y133" s="45"/>
      <c r="Z133" s="45"/>
      <c r="AA133" s="45"/>
      <c r="AB133" s="45"/>
      <c r="AC133" s="45"/>
      <c r="AD133" s="44"/>
      <c r="AE133" s="44"/>
      <c r="AF133" s="44"/>
      <c r="AG133" s="44"/>
      <c r="AH133" s="44"/>
      <c r="AI133" s="44"/>
      <c r="AJ133" s="44"/>
      <c r="AK133" s="44"/>
      <c r="AL133" s="44"/>
      <c r="AM133" s="44"/>
      <c r="AN133" s="44"/>
      <c r="AO133" s="44"/>
      <c r="AP133" s="44"/>
      <c r="AQ133" s="44"/>
      <c r="AR133" s="44"/>
      <c r="AS133" s="44"/>
      <c r="AT133" s="44"/>
      <c r="AU133" s="44"/>
      <c r="AV133" s="45"/>
      <c r="AW133" s="46"/>
      <c r="AX133" s="46"/>
      <c r="AY133" s="46"/>
      <c r="AZ133" s="46"/>
      <c r="BA133" s="46"/>
      <c r="BB133" s="46"/>
      <c r="BC133" s="46"/>
    </row>
    <row r="134" ht="15.75" customHeight="1">
      <c r="A134" s="46"/>
      <c r="B134" s="59"/>
      <c r="C134" s="59"/>
      <c r="D134" s="59"/>
      <c r="E134" s="59"/>
      <c r="F134" s="59"/>
      <c r="G134" s="59"/>
      <c r="H134" s="59"/>
      <c r="I134" s="59"/>
      <c r="J134" s="59"/>
      <c r="K134" s="59"/>
      <c r="L134" s="59"/>
      <c r="M134" s="59"/>
      <c r="N134" s="59"/>
      <c r="O134" s="59"/>
      <c r="P134" s="59"/>
      <c r="Q134" s="59"/>
      <c r="R134" s="59"/>
      <c r="S134" s="59"/>
      <c r="T134" s="59"/>
      <c r="U134" s="59"/>
      <c r="V134" s="59"/>
      <c r="W134" s="59"/>
      <c r="X134" s="45"/>
      <c r="Y134" s="45"/>
      <c r="Z134" s="45"/>
      <c r="AA134" s="45"/>
      <c r="AB134" s="45"/>
      <c r="AC134" s="45"/>
      <c r="AD134" s="44"/>
      <c r="AE134" s="44"/>
      <c r="AF134" s="44"/>
      <c r="AG134" s="44"/>
      <c r="AH134" s="44"/>
      <c r="AI134" s="44"/>
      <c r="AJ134" s="44"/>
      <c r="AK134" s="44"/>
      <c r="AL134" s="44"/>
      <c r="AM134" s="44"/>
      <c r="AN134" s="44"/>
      <c r="AO134" s="44"/>
      <c r="AP134" s="44"/>
      <c r="AQ134" s="44"/>
      <c r="AR134" s="44"/>
      <c r="AS134" s="44"/>
      <c r="AT134" s="44"/>
      <c r="AU134" s="44"/>
      <c r="AV134" s="45"/>
      <c r="AW134" s="46"/>
      <c r="AX134" s="46"/>
      <c r="AY134" s="46"/>
      <c r="AZ134" s="46"/>
      <c r="BA134" s="46"/>
      <c r="BB134" s="46"/>
      <c r="BC134" s="46"/>
    </row>
    <row r="135" ht="15.75" customHeight="1">
      <c r="A135" s="46"/>
      <c r="B135" s="59"/>
      <c r="C135" s="59"/>
      <c r="D135" s="59"/>
      <c r="E135" s="59"/>
      <c r="F135" s="59"/>
      <c r="G135" s="59"/>
      <c r="H135" s="59"/>
      <c r="I135" s="59"/>
      <c r="J135" s="59"/>
      <c r="K135" s="59"/>
      <c r="L135" s="59"/>
      <c r="M135" s="59"/>
      <c r="N135" s="59"/>
      <c r="O135" s="59"/>
      <c r="P135" s="59"/>
      <c r="Q135" s="59"/>
      <c r="R135" s="59"/>
      <c r="S135" s="59"/>
      <c r="T135" s="59"/>
      <c r="U135" s="59"/>
      <c r="V135" s="59"/>
      <c r="W135" s="59"/>
      <c r="X135" s="45"/>
      <c r="Y135" s="45"/>
      <c r="Z135" s="45"/>
      <c r="AA135" s="45"/>
      <c r="AB135" s="45"/>
      <c r="AC135" s="45"/>
      <c r="AD135" s="44"/>
      <c r="AE135" s="44"/>
      <c r="AF135" s="44"/>
      <c r="AG135" s="44"/>
      <c r="AH135" s="44"/>
      <c r="AI135" s="44"/>
      <c r="AJ135" s="44"/>
      <c r="AK135" s="44"/>
      <c r="AL135" s="44"/>
      <c r="AM135" s="44"/>
      <c r="AN135" s="44"/>
      <c r="AO135" s="44"/>
      <c r="AP135" s="44"/>
      <c r="AQ135" s="44"/>
      <c r="AR135" s="44"/>
      <c r="AS135" s="44"/>
      <c r="AT135" s="44"/>
      <c r="AU135" s="44"/>
      <c r="AV135" s="45"/>
      <c r="AW135" s="46"/>
      <c r="AX135" s="46"/>
      <c r="AY135" s="46"/>
      <c r="AZ135" s="46"/>
      <c r="BA135" s="46"/>
      <c r="BB135" s="46"/>
      <c r="BC135" s="46"/>
    </row>
    <row r="136" ht="15.75" customHeight="1">
      <c r="A136" s="46"/>
      <c r="B136" s="59"/>
      <c r="C136" s="59"/>
      <c r="D136" s="59"/>
      <c r="E136" s="59"/>
      <c r="F136" s="59"/>
      <c r="G136" s="59"/>
      <c r="H136" s="59"/>
      <c r="I136" s="59"/>
      <c r="J136" s="59"/>
      <c r="K136" s="59"/>
      <c r="L136" s="59"/>
      <c r="M136" s="59"/>
      <c r="N136" s="59"/>
      <c r="O136" s="59"/>
      <c r="P136" s="59"/>
      <c r="Q136" s="59"/>
      <c r="R136" s="59"/>
      <c r="S136" s="59"/>
      <c r="T136" s="59"/>
      <c r="U136" s="59"/>
      <c r="V136" s="59"/>
      <c r="W136" s="59"/>
      <c r="X136" s="45"/>
      <c r="Y136" s="45"/>
      <c r="Z136" s="45"/>
      <c r="AA136" s="45"/>
      <c r="AB136" s="45"/>
      <c r="AC136" s="45"/>
      <c r="AD136" s="44"/>
      <c r="AE136" s="44"/>
      <c r="AF136" s="44"/>
      <c r="AG136" s="44"/>
      <c r="AH136" s="44"/>
      <c r="AI136" s="44"/>
      <c r="AJ136" s="44"/>
      <c r="AK136" s="44"/>
      <c r="AL136" s="44"/>
      <c r="AM136" s="44"/>
      <c r="AN136" s="44"/>
      <c r="AO136" s="44"/>
      <c r="AP136" s="44"/>
      <c r="AQ136" s="44"/>
      <c r="AR136" s="44"/>
      <c r="AS136" s="44"/>
      <c r="AT136" s="44"/>
      <c r="AU136" s="44"/>
      <c r="AV136" s="45"/>
      <c r="AW136" s="46"/>
      <c r="AX136" s="46"/>
      <c r="AY136" s="46"/>
      <c r="AZ136" s="46"/>
      <c r="BA136" s="46"/>
      <c r="BB136" s="46"/>
      <c r="BC136" s="46"/>
    </row>
    <row r="137" ht="15.75" customHeight="1">
      <c r="A137" s="46"/>
      <c r="B137" s="59"/>
      <c r="C137" s="59"/>
      <c r="D137" s="59"/>
      <c r="E137" s="59"/>
      <c r="F137" s="59"/>
      <c r="G137" s="59"/>
      <c r="H137" s="59"/>
      <c r="I137" s="59"/>
      <c r="J137" s="59"/>
      <c r="K137" s="59"/>
      <c r="L137" s="59"/>
      <c r="M137" s="59"/>
      <c r="N137" s="59"/>
      <c r="O137" s="59"/>
      <c r="P137" s="59"/>
      <c r="Q137" s="59"/>
      <c r="R137" s="59"/>
      <c r="S137" s="59"/>
      <c r="T137" s="59"/>
      <c r="U137" s="59"/>
      <c r="V137" s="59"/>
      <c r="W137" s="59"/>
      <c r="X137" s="45"/>
      <c r="Y137" s="45"/>
      <c r="Z137" s="45"/>
      <c r="AA137" s="45"/>
      <c r="AB137" s="45"/>
      <c r="AC137" s="45"/>
      <c r="AD137" s="44"/>
      <c r="AE137" s="44"/>
      <c r="AF137" s="44"/>
      <c r="AG137" s="44"/>
      <c r="AH137" s="44"/>
      <c r="AI137" s="44"/>
      <c r="AJ137" s="44"/>
      <c r="AK137" s="44"/>
      <c r="AL137" s="44"/>
      <c r="AM137" s="44"/>
      <c r="AN137" s="44"/>
      <c r="AO137" s="44"/>
      <c r="AP137" s="44"/>
      <c r="AQ137" s="44"/>
      <c r="AR137" s="44"/>
      <c r="AS137" s="44"/>
      <c r="AT137" s="44"/>
      <c r="AU137" s="44"/>
      <c r="AV137" s="45"/>
      <c r="AW137" s="46"/>
      <c r="AX137" s="46"/>
      <c r="AY137" s="46"/>
      <c r="AZ137" s="46"/>
      <c r="BA137" s="46"/>
      <c r="BB137" s="46"/>
      <c r="BC137" s="46"/>
    </row>
    <row r="138" ht="15.75" customHeight="1">
      <c r="A138" s="46"/>
      <c r="B138" s="59"/>
      <c r="C138" s="59"/>
      <c r="D138" s="59"/>
      <c r="E138" s="59"/>
      <c r="F138" s="59"/>
      <c r="G138" s="59"/>
      <c r="H138" s="59"/>
      <c r="I138" s="59"/>
      <c r="J138" s="59"/>
      <c r="K138" s="59"/>
      <c r="L138" s="59"/>
      <c r="M138" s="59"/>
      <c r="N138" s="59"/>
      <c r="O138" s="59"/>
      <c r="P138" s="59"/>
      <c r="Q138" s="59"/>
      <c r="R138" s="59"/>
      <c r="S138" s="59"/>
      <c r="T138" s="59"/>
      <c r="U138" s="59"/>
      <c r="V138" s="59"/>
      <c r="W138" s="59"/>
      <c r="X138" s="45"/>
      <c r="Y138" s="45"/>
      <c r="Z138" s="45"/>
      <c r="AA138" s="45"/>
      <c r="AB138" s="45"/>
      <c r="AC138" s="45"/>
      <c r="AD138" s="44"/>
      <c r="AE138" s="44"/>
      <c r="AF138" s="44"/>
      <c r="AG138" s="44"/>
      <c r="AH138" s="44"/>
      <c r="AI138" s="44"/>
      <c r="AJ138" s="44"/>
      <c r="AK138" s="44"/>
      <c r="AL138" s="44"/>
      <c r="AM138" s="44"/>
      <c r="AN138" s="44"/>
      <c r="AO138" s="44"/>
      <c r="AP138" s="44"/>
      <c r="AQ138" s="44"/>
      <c r="AR138" s="44"/>
      <c r="AS138" s="44"/>
      <c r="AT138" s="44"/>
      <c r="AU138" s="44"/>
      <c r="AV138" s="45"/>
      <c r="AW138" s="46"/>
      <c r="AX138" s="46"/>
      <c r="AY138" s="46"/>
      <c r="AZ138" s="46"/>
      <c r="BA138" s="46"/>
      <c r="BB138" s="46"/>
      <c r="BC138" s="46"/>
    </row>
    <row r="139" ht="15.75" customHeight="1">
      <c r="A139" s="46"/>
      <c r="B139" s="59"/>
      <c r="C139" s="59"/>
      <c r="D139" s="59"/>
      <c r="E139" s="59"/>
      <c r="F139" s="59"/>
      <c r="G139" s="59"/>
      <c r="H139" s="59"/>
      <c r="I139" s="59"/>
      <c r="J139" s="59"/>
      <c r="K139" s="59"/>
      <c r="L139" s="59"/>
      <c r="M139" s="59"/>
      <c r="N139" s="59"/>
      <c r="O139" s="59"/>
      <c r="P139" s="59"/>
      <c r="Q139" s="59"/>
      <c r="R139" s="59"/>
      <c r="S139" s="59"/>
      <c r="T139" s="59"/>
      <c r="U139" s="59"/>
      <c r="V139" s="59"/>
      <c r="W139" s="59"/>
      <c r="X139" s="45"/>
      <c r="Y139" s="45"/>
      <c r="Z139" s="45"/>
      <c r="AA139" s="45"/>
      <c r="AB139" s="45"/>
      <c r="AC139" s="45"/>
      <c r="AD139" s="44"/>
      <c r="AE139" s="44"/>
      <c r="AF139" s="44"/>
      <c r="AG139" s="44"/>
      <c r="AH139" s="44"/>
      <c r="AI139" s="44"/>
      <c r="AJ139" s="44"/>
      <c r="AK139" s="44"/>
      <c r="AL139" s="44"/>
      <c r="AM139" s="44"/>
      <c r="AN139" s="44"/>
      <c r="AO139" s="44"/>
      <c r="AP139" s="44"/>
      <c r="AQ139" s="44"/>
      <c r="AR139" s="44"/>
      <c r="AS139" s="44"/>
      <c r="AT139" s="44"/>
      <c r="AU139" s="44"/>
      <c r="AV139" s="45"/>
      <c r="AW139" s="46"/>
      <c r="AX139" s="46"/>
      <c r="AY139" s="46"/>
      <c r="AZ139" s="46"/>
      <c r="BA139" s="46"/>
      <c r="BB139" s="46"/>
      <c r="BC139" s="46"/>
    </row>
    <row r="140" ht="15.75" customHeight="1">
      <c r="A140" s="46"/>
      <c r="B140" s="59"/>
      <c r="C140" s="59"/>
      <c r="D140" s="59"/>
      <c r="E140" s="59"/>
      <c r="F140" s="59"/>
      <c r="G140" s="59"/>
      <c r="H140" s="59"/>
      <c r="I140" s="59"/>
      <c r="J140" s="59"/>
      <c r="K140" s="59"/>
      <c r="L140" s="59"/>
      <c r="M140" s="59"/>
      <c r="N140" s="59"/>
      <c r="O140" s="59"/>
      <c r="P140" s="59"/>
      <c r="Q140" s="59"/>
      <c r="R140" s="59"/>
      <c r="S140" s="59"/>
      <c r="T140" s="59"/>
      <c r="U140" s="59"/>
      <c r="V140" s="59"/>
      <c r="W140" s="59"/>
      <c r="X140" s="45"/>
      <c r="Y140" s="45"/>
      <c r="Z140" s="45"/>
      <c r="AA140" s="45"/>
      <c r="AB140" s="45"/>
      <c r="AC140" s="45"/>
      <c r="AD140" s="44"/>
      <c r="AE140" s="44"/>
      <c r="AF140" s="44"/>
      <c r="AG140" s="44"/>
      <c r="AH140" s="44"/>
      <c r="AI140" s="44"/>
      <c r="AJ140" s="44"/>
      <c r="AK140" s="44"/>
      <c r="AL140" s="44"/>
      <c r="AM140" s="44"/>
      <c r="AN140" s="44"/>
      <c r="AO140" s="44"/>
      <c r="AP140" s="44"/>
      <c r="AQ140" s="44"/>
      <c r="AR140" s="44"/>
      <c r="AS140" s="44"/>
      <c r="AT140" s="44"/>
      <c r="AU140" s="44"/>
      <c r="AV140" s="45"/>
      <c r="AW140" s="46"/>
      <c r="AX140" s="46"/>
      <c r="AY140" s="46"/>
      <c r="AZ140" s="46"/>
      <c r="BA140" s="46"/>
      <c r="BB140" s="46"/>
      <c r="BC140" s="46"/>
    </row>
    <row r="141" ht="15.75" customHeight="1">
      <c r="A141" s="46"/>
      <c r="B141" s="59"/>
      <c r="C141" s="59"/>
      <c r="D141" s="59"/>
      <c r="E141" s="59"/>
      <c r="F141" s="59"/>
      <c r="G141" s="59"/>
      <c r="H141" s="59"/>
      <c r="I141" s="59"/>
      <c r="J141" s="59"/>
      <c r="K141" s="59"/>
      <c r="L141" s="59"/>
      <c r="M141" s="59"/>
      <c r="N141" s="59"/>
      <c r="O141" s="59"/>
      <c r="P141" s="59"/>
      <c r="Q141" s="59"/>
      <c r="R141" s="59"/>
      <c r="S141" s="59"/>
      <c r="T141" s="59"/>
      <c r="U141" s="59"/>
      <c r="V141" s="59"/>
      <c r="W141" s="59"/>
      <c r="X141" s="45"/>
      <c r="Y141" s="45"/>
      <c r="Z141" s="45"/>
      <c r="AA141" s="45"/>
      <c r="AB141" s="45"/>
      <c r="AC141" s="45"/>
      <c r="AD141" s="44"/>
      <c r="AE141" s="44"/>
      <c r="AF141" s="44"/>
      <c r="AG141" s="44"/>
      <c r="AH141" s="44"/>
      <c r="AI141" s="44"/>
      <c r="AJ141" s="44"/>
      <c r="AK141" s="44"/>
      <c r="AL141" s="44"/>
      <c r="AM141" s="44"/>
      <c r="AN141" s="44"/>
      <c r="AO141" s="44"/>
      <c r="AP141" s="44"/>
      <c r="AQ141" s="44"/>
      <c r="AR141" s="44"/>
      <c r="AS141" s="44"/>
      <c r="AT141" s="44"/>
      <c r="AU141" s="44"/>
      <c r="AV141" s="45"/>
      <c r="AW141" s="46"/>
      <c r="AX141" s="46"/>
      <c r="AY141" s="46"/>
      <c r="AZ141" s="46"/>
      <c r="BA141" s="46"/>
      <c r="BB141" s="46"/>
      <c r="BC141" s="46"/>
    </row>
    <row r="142" ht="15.75" customHeight="1">
      <c r="A142" s="46"/>
      <c r="B142" s="59"/>
      <c r="C142" s="59"/>
      <c r="D142" s="59"/>
      <c r="E142" s="59"/>
      <c r="F142" s="59"/>
      <c r="G142" s="59"/>
      <c r="H142" s="59"/>
      <c r="I142" s="59"/>
      <c r="J142" s="59"/>
      <c r="K142" s="59"/>
      <c r="L142" s="59"/>
      <c r="M142" s="59"/>
      <c r="N142" s="59"/>
      <c r="O142" s="59"/>
      <c r="P142" s="59"/>
      <c r="Q142" s="59"/>
      <c r="R142" s="59"/>
      <c r="S142" s="59"/>
      <c r="T142" s="59"/>
      <c r="U142" s="59"/>
      <c r="V142" s="59"/>
      <c r="W142" s="59"/>
      <c r="X142" s="45"/>
      <c r="Y142" s="45"/>
      <c r="Z142" s="45"/>
      <c r="AA142" s="45"/>
      <c r="AB142" s="45"/>
      <c r="AC142" s="45"/>
      <c r="AD142" s="44"/>
      <c r="AE142" s="44"/>
      <c r="AF142" s="44"/>
      <c r="AG142" s="44"/>
      <c r="AH142" s="44"/>
      <c r="AI142" s="44"/>
      <c r="AJ142" s="44"/>
      <c r="AK142" s="44"/>
      <c r="AL142" s="44"/>
      <c r="AM142" s="44"/>
      <c r="AN142" s="44"/>
      <c r="AO142" s="44"/>
      <c r="AP142" s="44"/>
      <c r="AQ142" s="44"/>
      <c r="AR142" s="44"/>
      <c r="AS142" s="44"/>
      <c r="AT142" s="44"/>
      <c r="AU142" s="44"/>
      <c r="AV142" s="45"/>
      <c r="AW142" s="46"/>
      <c r="AX142" s="46"/>
      <c r="AY142" s="46"/>
      <c r="AZ142" s="46"/>
      <c r="BA142" s="46"/>
      <c r="BB142" s="46"/>
      <c r="BC142" s="46"/>
    </row>
    <row r="143" ht="15.75" customHeight="1">
      <c r="A143" s="46"/>
      <c r="B143" s="59"/>
      <c r="C143" s="59"/>
      <c r="D143" s="59"/>
      <c r="E143" s="59"/>
      <c r="F143" s="59"/>
      <c r="G143" s="59"/>
      <c r="H143" s="59"/>
      <c r="I143" s="59"/>
      <c r="J143" s="59"/>
      <c r="K143" s="59"/>
      <c r="L143" s="59"/>
      <c r="M143" s="59"/>
      <c r="N143" s="59"/>
      <c r="O143" s="59"/>
      <c r="P143" s="59"/>
      <c r="Q143" s="59"/>
      <c r="R143" s="59"/>
      <c r="S143" s="59"/>
      <c r="T143" s="59"/>
      <c r="U143" s="59"/>
      <c r="V143" s="59"/>
      <c r="W143" s="59"/>
      <c r="X143" s="45"/>
      <c r="Y143" s="45"/>
      <c r="Z143" s="45"/>
      <c r="AA143" s="45"/>
      <c r="AB143" s="45"/>
      <c r="AC143" s="45"/>
      <c r="AD143" s="44"/>
      <c r="AE143" s="44"/>
      <c r="AF143" s="44"/>
      <c r="AG143" s="44"/>
      <c r="AH143" s="44"/>
      <c r="AI143" s="44"/>
      <c r="AJ143" s="44"/>
      <c r="AK143" s="44"/>
      <c r="AL143" s="44"/>
      <c r="AM143" s="44"/>
      <c r="AN143" s="44"/>
      <c r="AO143" s="44"/>
      <c r="AP143" s="44"/>
      <c r="AQ143" s="44"/>
      <c r="AR143" s="44"/>
      <c r="AS143" s="44"/>
      <c r="AT143" s="44"/>
      <c r="AU143" s="44"/>
      <c r="AV143" s="45"/>
      <c r="AW143" s="46"/>
      <c r="AX143" s="46"/>
      <c r="AY143" s="46"/>
      <c r="AZ143" s="46"/>
      <c r="BA143" s="46"/>
      <c r="BB143" s="46"/>
      <c r="BC143" s="46"/>
    </row>
    <row r="144" ht="15.75" customHeight="1">
      <c r="A144" s="46"/>
      <c r="B144" s="59"/>
      <c r="C144" s="59"/>
      <c r="D144" s="59"/>
      <c r="E144" s="59"/>
      <c r="F144" s="59"/>
      <c r="G144" s="59"/>
      <c r="H144" s="59"/>
      <c r="I144" s="59"/>
      <c r="J144" s="59"/>
      <c r="K144" s="59"/>
      <c r="L144" s="59"/>
      <c r="M144" s="59"/>
      <c r="N144" s="59"/>
      <c r="O144" s="59"/>
      <c r="P144" s="59"/>
      <c r="Q144" s="59"/>
      <c r="R144" s="59"/>
      <c r="S144" s="59"/>
      <c r="T144" s="59"/>
      <c r="U144" s="59"/>
      <c r="V144" s="59"/>
      <c r="W144" s="59"/>
      <c r="X144" s="45"/>
      <c r="Y144" s="45"/>
      <c r="Z144" s="45"/>
      <c r="AA144" s="45"/>
      <c r="AB144" s="45"/>
      <c r="AC144" s="45"/>
      <c r="AD144" s="44"/>
      <c r="AE144" s="44"/>
      <c r="AF144" s="44"/>
      <c r="AG144" s="44"/>
      <c r="AH144" s="44"/>
      <c r="AI144" s="44"/>
      <c r="AJ144" s="44"/>
      <c r="AK144" s="44"/>
      <c r="AL144" s="44"/>
      <c r="AM144" s="44"/>
      <c r="AN144" s="44"/>
      <c r="AO144" s="44"/>
      <c r="AP144" s="44"/>
      <c r="AQ144" s="44"/>
      <c r="AR144" s="44"/>
      <c r="AS144" s="44"/>
      <c r="AT144" s="44"/>
      <c r="AU144" s="44"/>
      <c r="AV144" s="45"/>
      <c r="AW144" s="46"/>
      <c r="AX144" s="46"/>
      <c r="AY144" s="46"/>
      <c r="AZ144" s="46"/>
      <c r="BA144" s="46"/>
      <c r="BB144" s="46"/>
      <c r="BC144" s="46"/>
    </row>
    <row r="145" ht="15.75" customHeight="1">
      <c r="A145" s="46"/>
      <c r="B145" s="59"/>
      <c r="C145" s="59"/>
      <c r="D145" s="59"/>
      <c r="E145" s="59"/>
      <c r="F145" s="59"/>
      <c r="G145" s="59"/>
      <c r="H145" s="59"/>
      <c r="I145" s="59"/>
      <c r="J145" s="59"/>
      <c r="K145" s="59"/>
      <c r="L145" s="59"/>
      <c r="M145" s="59"/>
      <c r="N145" s="59"/>
      <c r="O145" s="59"/>
      <c r="P145" s="59"/>
      <c r="Q145" s="59"/>
      <c r="R145" s="59"/>
      <c r="S145" s="59"/>
      <c r="T145" s="59"/>
      <c r="U145" s="59"/>
      <c r="V145" s="59"/>
      <c r="W145" s="59"/>
      <c r="X145" s="45"/>
      <c r="Y145" s="45"/>
      <c r="Z145" s="45"/>
      <c r="AA145" s="45"/>
      <c r="AB145" s="45"/>
      <c r="AC145" s="45"/>
      <c r="AD145" s="44"/>
      <c r="AE145" s="44"/>
      <c r="AF145" s="44"/>
      <c r="AG145" s="44"/>
      <c r="AH145" s="44"/>
      <c r="AI145" s="44"/>
      <c r="AJ145" s="44"/>
      <c r="AK145" s="44"/>
      <c r="AL145" s="44"/>
      <c r="AM145" s="44"/>
      <c r="AN145" s="44"/>
      <c r="AO145" s="44"/>
      <c r="AP145" s="44"/>
      <c r="AQ145" s="44"/>
      <c r="AR145" s="44"/>
      <c r="AS145" s="44"/>
      <c r="AT145" s="44"/>
      <c r="AU145" s="44"/>
      <c r="AV145" s="45"/>
      <c r="AW145" s="46"/>
      <c r="AX145" s="46"/>
      <c r="AY145" s="46"/>
      <c r="AZ145" s="46"/>
      <c r="BA145" s="46"/>
      <c r="BB145" s="46"/>
      <c r="BC145" s="46"/>
    </row>
    <row r="146" ht="15.75" customHeight="1">
      <c r="A146" s="46"/>
      <c r="B146" s="59"/>
      <c r="C146" s="59"/>
      <c r="D146" s="59"/>
      <c r="E146" s="59"/>
      <c r="F146" s="59"/>
      <c r="G146" s="59"/>
      <c r="H146" s="59"/>
      <c r="I146" s="59"/>
      <c r="J146" s="59"/>
      <c r="K146" s="59"/>
      <c r="L146" s="59"/>
      <c r="M146" s="59"/>
      <c r="N146" s="59"/>
      <c r="O146" s="59"/>
      <c r="P146" s="59"/>
      <c r="Q146" s="59"/>
      <c r="R146" s="59"/>
      <c r="S146" s="59"/>
      <c r="T146" s="59"/>
      <c r="U146" s="59"/>
      <c r="V146" s="59"/>
      <c r="W146" s="59"/>
      <c r="X146" s="45"/>
      <c r="Y146" s="45"/>
      <c r="Z146" s="45"/>
      <c r="AA146" s="45"/>
      <c r="AB146" s="45"/>
      <c r="AC146" s="45"/>
      <c r="AD146" s="44"/>
      <c r="AE146" s="44"/>
      <c r="AF146" s="44"/>
      <c r="AG146" s="44"/>
      <c r="AH146" s="44"/>
      <c r="AI146" s="44"/>
      <c r="AJ146" s="44"/>
      <c r="AK146" s="44"/>
      <c r="AL146" s="44"/>
      <c r="AM146" s="44"/>
      <c r="AN146" s="44"/>
      <c r="AO146" s="44"/>
      <c r="AP146" s="44"/>
      <c r="AQ146" s="44"/>
      <c r="AR146" s="44"/>
      <c r="AS146" s="44"/>
      <c r="AT146" s="44"/>
      <c r="AU146" s="44"/>
      <c r="AV146" s="45"/>
      <c r="AW146" s="46"/>
      <c r="AX146" s="46"/>
      <c r="AY146" s="46"/>
      <c r="AZ146" s="46"/>
      <c r="BA146" s="46"/>
      <c r="BB146" s="46"/>
      <c r="BC146" s="46"/>
    </row>
    <row r="147" ht="15.75" customHeight="1">
      <c r="A147" s="46"/>
      <c r="B147" s="59"/>
      <c r="C147" s="59"/>
      <c r="D147" s="59"/>
      <c r="E147" s="59"/>
      <c r="F147" s="59"/>
      <c r="G147" s="59"/>
      <c r="H147" s="59"/>
      <c r="I147" s="59"/>
      <c r="J147" s="59"/>
      <c r="K147" s="59"/>
      <c r="L147" s="59"/>
      <c r="M147" s="59"/>
      <c r="N147" s="59"/>
      <c r="O147" s="59"/>
      <c r="P147" s="59"/>
      <c r="Q147" s="59"/>
      <c r="R147" s="59"/>
      <c r="S147" s="59"/>
      <c r="T147" s="59"/>
      <c r="U147" s="59"/>
      <c r="V147" s="59"/>
      <c r="W147" s="59"/>
      <c r="X147" s="45"/>
      <c r="Y147" s="45"/>
      <c r="Z147" s="45"/>
      <c r="AA147" s="45"/>
      <c r="AB147" s="45"/>
      <c r="AC147" s="45"/>
      <c r="AD147" s="44"/>
      <c r="AE147" s="44"/>
      <c r="AF147" s="44"/>
      <c r="AG147" s="44"/>
      <c r="AH147" s="44"/>
      <c r="AI147" s="44"/>
      <c r="AJ147" s="44"/>
      <c r="AK147" s="44"/>
      <c r="AL147" s="44"/>
      <c r="AM147" s="44"/>
      <c r="AN147" s="44"/>
      <c r="AO147" s="44"/>
      <c r="AP147" s="44"/>
      <c r="AQ147" s="44"/>
      <c r="AR147" s="44"/>
      <c r="AS147" s="44"/>
      <c r="AT147" s="44"/>
      <c r="AU147" s="44"/>
      <c r="AV147" s="45"/>
      <c r="AW147" s="46"/>
      <c r="AX147" s="46"/>
      <c r="AY147" s="46"/>
      <c r="AZ147" s="46"/>
      <c r="BA147" s="46"/>
      <c r="BB147" s="46"/>
      <c r="BC147" s="46"/>
    </row>
    <row r="148" ht="15.75" customHeight="1">
      <c r="A148" s="46"/>
      <c r="B148" s="59"/>
      <c r="C148" s="59"/>
      <c r="D148" s="59"/>
      <c r="E148" s="59"/>
      <c r="F148" s="59"/>
      <c r="G148" s="59"/>
      <c r="H148" s="59"/>
      <c r="I148" s="59"/>
      <c r="J148" s="59"/>
      <c r="K148" s="59"/>
      <c r="L148" s="59"/>
      <c r="M148" s="59"/>
      <c r="N148" s="59"/>
      <c r="O148" s="59"/>
      <c r="P148" s="59"/>
      <c r="Q148" s="59"/>
      <c r="R148" s="59"/>
      <c r="S148" s="59"/>
      <c r="T148" s="59"/>
      <c r="U148" s="59"/>
      <c r="V148" s="59"/>
      <c r="W148" s="59"/>
      <c r="X148" s="45"/>
      <c r="Y148" s="45"/>
      <c r="Z148" s="45"/>
      <c r="AA148" s="45"/>
      <c r="AB148" s="45"/>
      <c r="AC148" s="45"/>
      <c r="AD148" s="44"/>
      <c r="AE148" s="44"/>
      <c r="AF148" s="44"/>
      <c r="AG148" s="44"/>
      <c r="AH148" s="44"/>
      <c r="AI148" s="44"/>
      <c r="AJ148" s="44"/>
      <c r="AK148" s="44"/>
      <c r="AL148" s="44"/>
      <c r="AM148" s="44"/>
      <c r="AN148" s="44"/>
      <c r="AO148" s="44"/>
      <c r="AP148" s="44"/>
      <c r="AQ148" s="44"/>
      <c r="AR148" s="44"/>
      <c r="AS148" s="44"/>
      <c r="AT148" s="44"/>
      <c r="AU148" s="44"/>
      <c r="AV148" s="45"/>
      <c r="AW148" s="46"/>
      <c r="AX148" s="46"/>
      <c r="AY148" s="46"/>
      <c r="AZ148" s="46"/>
      <c r="BA148" s="46"/>
      <c r="BB148" s="46"/>
      <c r="BC148" s="46"/>
    </row>
    <row r="149" ht="15.75" customHeight="1">
      <c r="A149" s="46"/>
      <c r="B149" s="59"/>
      <c r="C149" s="59"/>
      <c r="D149" s="59"/>
      <c r="E149" s="59"/>
      <c r="F149" s="59"/>
      <c r="G149" s="59"/>
      <c r="H149" s="59"/>
      <c r="I149" s="59"/>
      <c r="J149" s="59"/>
      <c r="K149" s="59"/>
      <c r="L149" s="59"/>
      <c r="M149" s="59"/>
      <c r="N149" s="59"/>
      <c r="O149" s="59"/>
      <c r="P149" s="59"/>
      <c r="Q149" s="59"/>
      <c r="R149" s="59"/>
      <c r="S149" s="59"/>
      <c r="T149" s="59"/>
      <c r="U149" s="59"/>
      <c r="V149" s="59"/>
      <c r="W149" s="59"/>
      <c r="X149" s="45"/>
      <c r="Y149" s="45"/>
      <c r="Z149" s="45"/>
      <c r="AA149" s="45"/>
      <c r="AB149" s="45"/>
      <c r="AC149" s="45"/>
      <c r="AD149" s="44"/>
      <c r="AE149" s="44"/>
      <c r="AF149" s="44"/>
      <c r="AG149" s="44"/>
      <c r="AH149" s="44"/>
      <c r="AI149" s="44"/>
      <c r="AJ149" s="44"/>
      <c r="AK149" s="44"/>
      <c r="AL149" s="44"/>
      <c r="AM149" s="44"/>
      <c r="AN149" s="44"/>
      <c r="AO149" s="44"/>
      <c r="AP149" s="44"/>
      <c r="AQ149" s="44"/>
      <c r="AR149" s="44"/>
      <c r="AS149" s="44"/>
      <c r="AT149" s="44"/>
      <c r="AU149" s="44"/>
      <c r="AV149" s="45"/>
      <c r="AW149" s="46"/>
      <c r="AX149" s="46"/>
      <c r="AY149" s="46"/>
      <c r="AZ149" s="46"/>
      <c r="BA149" s="46"/>
      <c r="BB149" s="46"/>
      <c r="BC149" s="46"/>
    </row>
    <row r="150" ht="15.75" customHeight="1">
      <c r="A150" s="46"/>
      <c r="B150" s="59"/>
      <c r="C150" s="59"/>
      <c r="D150" s="59"/>
      <c r="E150" s="59"/>
      <c r="F150" s="59"/>
      <c r="G150" s="59"/>
      <c r="H150" s="59"/>
      <c r="I150" s="59"/>
      <c r="J150" s="59"/>
      <c r="K150" s="59"/>
      <c r="L150" s="59"/>
      <c r="M150" s="59"/>
      <c r="N150" s="59"/>
      <c r="O150" s="59"/>
      <c r="P150" s="59"/>
      <c r="Q150" s="59"/>
      <c r="R150" s="59"/>
      <c r="S150" s="59"/>
      <c r="T150" s="59"/>
      <c r="U150" s="59"/>
      <c r="V150" s="59"/>
      <c r="W150" s="59"/>
      <c r="X150" s="45"/>
      <c r="Y150" s="45"/>
      <c r="Z150" s="45"/>
      <c r="AA150" s="45"/>
      <c r="AB150" s="45"/>
      <c r="AC150" s="45"/>
      <c r="AD150" s="44"/>
      <c r="AE150" s="44"/>
      <c r="AF150" s="44"/>
      <c r="AG150" s="44"/>
      <c r="AH150" s="44"/>
      <c r="AI150" s="44"/>
      <c r="AJ150" s="44"/>
      <c r="AK150" s="44"/>
      <c r="AL150" s="44"/>
      <c r="AM150" s="44"/>
      <c r="AN150" s="44"/>
      <c r="AO150" s="44"/>
      <c r="AP150" s="44"/>
      <c r="AQ150" s="44"/>
      <c r="AR150" s="44"/>
      <c r="AS150" s="44"/>
      <c r="AT150" s="44"/>
      <c r="AU150" s="44"/>
      <c r="AV150" s="45"/>
      <c r="AW150" s="46"/>
      <c r="AX150" s="46"/>
      <c r="AY150" s="46"/>
      <c r="AZ150" s="46"/>
      <c r="BA150" s="46"/>
      <c r="BB150" s="46"/>
      <c r="BC150" s="46"/>
    </row>
    <row r="151" ht="15.75" customHeight="1">
      <c r="A151" s="46"/>
      <c r="B151" s="59"/>
      <c r="C151" s="59"/>
      <c r="D151" s="59"/>
      <c r="E151" s="59"/>
      <c r="F151" s="59"/>
      <c r="G151" s="59"/>
      <c r="H151" s="59"/>
      <c r="I151" s="59"/>
      <c r="J151" s="59"/>
      <c r="K151" s="59"/>
      <c r="L151" s="59"/>
      <c r="M151" s="59"/>
      <c r="N151" s="59"/>
      <c r="O151" s="59"/>
      <c r="P151" s="59"/>
      <c r="Q151" s="59"/>
      <c r="R151" s="59"/>
      <c r="S151" s="59"/>
      <c r="T151" s="59"/>
      <c r="U151" s="59"/>
      <c r="V151" s="59"/>
      <c r="W151" s="59"/>
      <c r="X151" s="45"/>
      <c r="Y151" s="45"/>
      <c r="Z151" s="45"/>
      <c r="AA151" s="45"/>
      <c r="AB151" s="45"/>
      <c r="AC151" s="45"/>
      <c r="AD151" s="44"/>
      <c r="AE151" s="44"/>
      <c r="AF151" s="44"/>
      <c r="AG151" s="44"/>
      <c r="AH151" s="44"/>
      <c r="AI151" s="44"/>
      <c r="AJ151" s="44"/>
      <c r="AK151" s="44"/>
      <c r="AL151" s="44"/>
      <c r="AM151" s="44"/>
      <c r="AN151" s="44"/>
      <c r="AO151" s="44"/>
      <c r="AP151" s="44"/>
      <c r="AQ151" s="44"/>
      <c r="AR151" s="44"/>
      <c r="AS151" s="44"/>
      <c r="AT151" s="44"/>
      <c r="AU151" s="44"/>
      <c r="AV151" s="45"/>
      <c r="AW151" s="46"/>
      <c r="AX151" s="46"/>
      <c r="AY151" s="46"/>
      <c r="AZ151" s="46"/>
      <c r="BA151" s="46"/>
      <c r="BB151" s="46"/>
      <c r="BC151" s="46"/>
    </row>
    <row r="152" ht="15.75" customHeight="1">
      <c r="A152" s="46"/>
      <c r="B152" s="59"/>
      <c r="C152" s="59"/>
      <c r="D152" s="59"/>
      <c r="E152" s="59"/>
      <c r="F152" s="59"/>
      <c r="G152" s="59"/>
      <c r="H152" s="59"/>
      <c r="I152" s="59"/>
      <c r="J152" s="59"/>
      <c r="K152" s="59"/>
      <c r="L152" s="59"/>
      <c r="M152" s="59"/>
      <c r="N152" s="59"/>
      <c r="O152" s="59"/>
      <c r="P152" s="59"/>
      <c r="Q152" s="59"/>
      <c r="R152" s="59"/>
      <c r="S152" s="59"/>
      <c r="T152" s="59"/>
      <c r="U152" s="59"/>
      <c r="V152" s="59"/>
      <c r="W152" s="59"/>
      <c r="X152" s="45"/>
      <c r="Y152" s="45"/>
      <c r="Z152" s="45"/>
      <c r="AA152" s="45"/>
      <c r="AB152" s="45"/>
      <c r="AC152" s="45"/>
      <c r="AD152" s="44"/>
      <c r="AE152" s="44"/>
      <c r="AF152" s="44"/>
      <c r="AG152" s="44"/>
      <c r="AH152" s="44"/>
      <c r="AI152" s="44"/>
      <c r="AJ152" s="44"/>
      <c r="AK152" s="44"/>
      <c r="AL152" s="44"/>
      <c r="AM152" s="44"/>
      <c r="AN152" s="44"/>
      <c r="AO152" s="44"/>
      <c r="AP152" s="44"/>
      <c r="AQ152" s="44"/>
      <c r="AR152" s="44"/>
      <c r="AS152" s="44"/>
      <c r="AT152" s="44"/>
      <c r="AU152" s="44"/>
      <c r="AV152" s="45"/>
      <c r="AW152" s="46"/>
      <c r="AX152" s="46"/>
      <c r="AY152" s="46"/>
      <c r="AZ152" s="46"/>
      <c r="BA152" s="46"/>
      <c r="BB152" s="46"/>
      <c r="BC152" s="46"/>
    </row>
    <row r="153" ht="15.75" customHeight="1">
      <c r="A153" s="46"/>
      <c r="B153" s="59"/>
      <c r="C153" s="59"/>
      <c r="D153" s="59"/>
      <c r="E153" s="59"/>
      <c r="F153" s="59"/>
      <c r="G153" s="59"/>
      <c r="H153" s="59"/>
      <c r="I153" s="59"/>
      <c r="J153" s="59"/>
      <c r="K153" s="59"/>
      <c r="L153" s="59"/>
      <c r="M153" s="59"/>
      <c r="N153" s="59"/>
      <c r="O153" s="59"/>
      <c r="P153" s="59"/>
      <c r="Q153" s="59"/>
      <c r="R153" s="59"/>
      <c r="S153" s="59"/>
      <c r="T153" s="59"/>
      <c r="U153" s="59"/>
      <c r="V153" s="59"/>
      <c r="W153" s="59"/>
      <c r="X153" s="45"/>
      <c r="Y153" s="45"/>
      <c r="Z153" s="45"/>
      <c r="AA153" s="45"/>
      <c r="AB153" s="45"/>
      <c r="AC153" s="45"/>
      <c r="AD153" s="44"/>
      <c r="AE153" s="44"/>
      <c r="AF153" s="44"/>
      <c r="AG153" s="44"/>
      <c r="AH153" s="44"/>
      <c r="AI153" s="44"/>
      <c r="AJ153" s="44"/>
      <c r="AK153" s="44"/>
      <c r="AL153" s="44"/>
      <c r="AM153" s="44"/>
      <c r="AN153" s="44"/>
      <c r="AO153" s="44"/>
      <c r="AP153" s="44"/>
      <c r="AQ153" s="44"/>
      <c r="AR153" s="44"/>
      <c r="AS153" s="44"/>
      <c r="AT153" s="44"/>
      <c r="AU153" s="44"/>
      <c r="AV153" s="45"/>
      <c r="AW153" s="46"/>
      <c r="AX153" s="46"/>
      <c r="AY153" s="46"/>
      <c r="AZ153" s="46"/>
      <c r="BA153" s="46"/>
      <c r="BB153" s="46"/>
      <c r="BC153" s="46"/>
    </row>
    <row r="154" ht="15.75" customHeight="1">
      <c r="A154" s="46"/>
      <c r="B154" s="59"/>
      <c r="C154" s="59"/>
      <c r="D154" s="59"/>
      <c r="E154" s="59"/>
      <c r="F154" s="59"/>
      <c r="G154" s="59"/>
      <c r="H154" s="59"/>
      <c r="I154" s="59"/>
      <c r="J154" s="59"/>
      <c r="K154" s="59"/>
      <c r="L154" s="59"/>
      <c r="M154" s="59"/>
      <c r="N154" s="59"/>
      <c r="O154" s="59"/>
      <c r="P154" s="59"/>
      <c r="Q154" s="59"/>
      <c r="R154" s="59"/>
      <c r="S154" s="59"/>
      <c r="T154" s="59"/>
      <c r="U154" s="59"/>
      <c r="V154" s="59"/>
      <c r="W154" s="59"/>
      <c r="X154" s="45"/>
      <c r="Y154" s="45"/>
      <c r="Z154" s="45"/>
      <c r="AA154" s="45"/>
      <c r="AB154" s="45"/>
      <c r="AC154" s="45"/>
      <c r="AD154" s="44"/>
      <c r="AE154" s="44"/>
      <c r="AF154" s="44"/>
      <c r="AG154" s="44"/>
      <c r="AH154" s="44"/>
      <c r="AI154" s="44"/>
      <c r="AJ154" s="44"/>
      <c r="AK154" s="44"/>
      <c r="AL154" s="44"/>
      <c r="AM154" s="44"/>
      <c r="AN154" s="44"/>
      <c r="AO154" s="44"/>
      <c r="AP154" s="44"/>
      <c r="AQ154" s="44"/>
      <c r="AR154" s="44"/>
      <c r="AS154" s="44"/>
      <c r="AT154" s="44"/>
      <c r="AU154" s="44"/>
      <c r="AV154" s="45"/>
      <c r="AW154" s="46"/>
      <c r="AX154" s="46"/>
      <c r="AY154" s="46"/>
      <c r="AZ154" s="46"/>
      <c r="BA154" s="46"/>
      <c r="BB154" s="46"/>
      <c r="BC154" s="46"/>
    </row>
    <row r="155" ht="15.75" customHeight="1">
      <c r="A155" s="46"/>
      <c r="B155" s="59"/>
      <c r="C155" s="59"/>
      <c r="D155" s="59"/>
      <c r="E155" s="59"/>
      <c r="F155" s="59"/>
      <c r="G155" s="59"/>
      <c r="H155" s="59"/>
      <c r="I155" s="59"/>
      <c r="J155" s="59"/>
      <c r="K155" s="59"/>
      <c r="L155" s="59"/>
      <c r="M155" s="59"/>
      <c r="N155" s="59"/>
      <c r="O155" s="59"/>
      <c r="P155" s="59"/>
      <c r="Q155" s="59"/>
      <c r="R155" s="59"/>
      <c r="S155" s="59"/>
      <c r="T155" s="59"/>
      <c r="U155" s="59"/>
      <c r="V155" s="59"/>
      <c r="W155" s="59"/>
      <c r="X155" s="45"/>
      <c r="Y155" s="45"/>
      <c r="Z155" s="45"/>
      <c r="AA155" s="45"/>
      <c r="AB155" s="45"/>
      <c r="AC155" s="45"/>
      <c r="AD155" s="44"/>
      <c r="AE155" s="44"/>
      <c r="AF155" s="44"/>
      <c r="AG155" s="44"/>
      <c r="AH155" s="44"/>
      <c r="AI155" s="44"/>
      <c r="AJ155" s="44"/>
      <c r="AK155" s="44"/>
      <c r="AL155" s="44"/>
      <c r="AM155" s="44"/>
      <c r="AN155" s="44"/>
      <c r="AO155" s="44"/>
      <c r="AP155" s="44"/>
      <c r="AQ155" s="44"/>
      <c r="AR155" s="44"/>
      <c r="AS155" s="44"/>
      <c r="AT155" s="44"/>
      <c r="AU155" s="44"/>
      <c r="AV155" s="45"/>
      <c r="AW155" s="46"/>
      <c r="AX155" s="46"/>
      <c r="AY155" s="46"/>
      <c r="AZ155" s="46"/>
      <c r="BA155" s="46"/>
      <c r="BB155" s="46"/>
      <c r="BC155" s="46"/>
    </row>
    <row r="156" ht="15.75" customHeight="1">
      <c r="A156" s="46"/>
      <c r="B156" s="59"/>
      <c r="C156" s="59"/>
      <c r="D156" s="59"/>
      <c r="E156" s="59"/>
      <c r="F156" s="59"/>
      <c r="G156" s="59"/>
      <c r="H156" s="59"/>
      <c r="I156" s="59"/>
      <c r="J156" s="59"/>
      <c r="K156" s="59"/>
      <c r="L156" s="59"/>
      <c r="M156" s="59"/>
      <c r="N156" s="59"/>
      <c r="O156" s="59"/>
      <c r="P156" s="59"/>
      <c r="Q156" s="59"/>
      <c r="R156" s="59"/>
      <c r="S156" s="59"/>
      <c r="T156" s="59"/>
      <c r="U156" s="59"/>
      <c r="V156" s="59"/>
      <c r="W156" s="59"/>
      <c r="X156" s="45"/>
      <c r="Y156" s="45"/>
      <c r="Z156" s="45"/>
      <c r="AA156" s="45"/>
      <c r="AB156" s="45"/>
      <c r="AC156" s="45"/>
      <c r="AD156" s="44"/>
      <c r="AE156" s="44"/>
      <c r="AF156" s="44"/>
      <c r="AG156" s="44"/>
      <c r="AH156" s="44"/>
      <c r="AI156" s="44"/>
      <c r="AJ156" s="44"/>
      <c r="AK156" s="44"/>
      <c r="AL156" s="44"/>
      <c r="AM156" s="44"/>
      <c r="AN156" s="44"/>
      <c r="AO156" s="44"/>
      <c r="AP156" s="44"/>
      <c r="AQ156" s="44"/>
      <c r="AR156" s="44"/>
      <c r="AS156" s="44"/>
      <c r="AT156" s="44"/>
      <c r="AU156" s="44"/>
      <c r="AV156" s="45"/>
      <c r="AW156" s="46"/>
      <c r="AX156" s="46"/>
      <c r="AY156" s="46"/>
      <c r="AZ156" s="46"/>
      <c r="BA156" s="46"/>
      <c r="BB156" s="46"/>
      <c r="BC156" s="46"/>
    </row>
    <row r="157" ht="15.75" customHeight="1">
      <c r="A157" s="46"/>
      <c r="B157" s="59"/>
      <c r="C157" s="59"/>
      <c r="D157" s="59"/>
      <c r="E157" s="59"/>
      <c r="F157" s="59"/>
      <c r="G157" s="59"/>
      <c r="H157" s="59"/>
      <c r="I157" s="59"/>
      <c r="J157" s="59"/>
      <c r="K157" s="59"/>
      <c r="L157" s="59"/>
      <c r="M157" s="59"/>
      <c r="N157" s="59"/>
      <c r="O157" s="59"/>
      <c r="P157" s="59"/>
      <c r="Q157" s="59"/>
      <c r="R157" s="59"/>
      <c r="S157" s="59"/>
      <c r="T157" s="59"/>
      <c r="U157" s="59"/>
      <c r="V157" s="59"/>
      <c r="W157" s="59"/>
      <c r="X157" s="45"/>
      <c r="Y157" s="45"/>
      <c r="Z157" s="45"/>
      <c r="AA157" s="45"/>
      <c r="AB157" s="45"/>
      <c r="AC157" s="45"/>
      <c r="AD157" s="44"/>
      <c r="AE157" s="44"/>
      <c r="AF157" s="44"/>
      <c r="AG157" s="44"/>
      <c r="AH157" s="44"/>
      <c r="AI157" s="44"/>
      <c r="AJ157" s="44"/>
      <c r="AK157" s="44"/>
      <c r="AL157" s="44"/>
      <c r="AM157" s="44"/>
      <c r="AN157" s="44"/>
      <c r="AO157" s="44"/>
      <c r="AP157" s="44"/>
      <c r="AQ157" s="44"/>
      <c r="AR157" s="44"/>
      <c r="AS157" s="44"/>
      <c r="AT157" s="44"/>
      <c r="AU157" s="44"/>
      <c r="AV157" s="45"/>
      <c r="AW157" s="46"/>
      <c r="AX157" s="46"/>
      <c r="AY157" s="46"/>
      <c r="AZ157" s="46"/>
      <c r="BA157" s="46"/>
      <c r="BB157" s="46"/>
      <c r="BC157" s="46"/>
    </row>
    <row r="158" ht="15.75" customHeight="1">
      <c r="A158" s="46"/>
      <c r="B158" s="59"/>
      <c r="C158" s="59"/>
      <c r="D158" s="59"/>
      <c r="E158" s="59"/>
      <c r="F158" s="59"/>
      <c r="G158" s="59"/>
      <c r="H158" s="59"/>
      <c r="I158" s="59"/>
      <c r="J158" s="59"/>
      <c r="K158" s="59"/>
      <c r="L158" s="59"/>
      <c r="M158" s="59"/>
      <c r="N158" s="59"/>
      <c r="O158" s="59"/>
      <c r="P158" s="59"/>
      <c r="Q158" s="59"/>
      <c r="R158" s="59"/>
      <c r="S158" s="59"/>
      <c r="T158" s="59"/>
      <c r="U158" s="59"/>
      <c r="V158" s="59"/>
      <c r="W158" s="59"/>
      <c r="X158" s="45"/>
      <c r="Y158" s="45"/>
      <c r="Z158" s="45"/>
      <c r="AA158" s="45"/>
      <c r="AB158" s="45"/>
      <c r="AC158" s="45"/>
      <c r="AD158" s="44"/>
      <c r="AE158" s="44"/>
      <c r="AF158" s="44"/>
      <c r="AG158" s="44"/>
      <c r="AH158" s="44"/>
      <c r="AI158" s="44"/>
      <c r="AJ158" s="44"/>
      <c r="AK158" s="44"/>
      <c r="AL158" s="44"/>
      <c r="AM158" s="44"/>
      <c r="AN158" s="44"/>
      <c r="AO158" s="44"/>
      <c r="AP158" s="44"/>
      <c r="AQ158" s="44"/>
      <c r="AR158" s="44"/>
      <c r="AS158" s="44"/>
      <c r="AT158" s="44"/>
      <c r="AU158" s="44"/>
      <c r="AV158" s="45"/>
      <c r="AW158" s="46"/>
      <c r="AX158" s="46"/>
      <c r="AY158" s="46"/>
      <c r="AZ158" s="46"/>
      <c r="BA158" s="46"/>
      <c r="BB158" s="46"/>
      <c r="BC158" s="46"/>
    </row>
    <row r="159" ht="15.75" customHeight="1">
      <c r="A159" s="46"/>
      <c r="B159" s="59"/>
      <c r="C159" s="59"/>
      <c r="D159" s="59"/>
      <c r="E159" s="59"/>
      <c r="F159" s="59"/>
      <c r="G159" s="59"/>
      <c r="H159" s="59"/>
      <c r="I159" s="59"/>
      <c r="J159" s="59"/>
      <c r="K159" s="59"/>
      <c r="L159" s="59"/>
      <c r="M159" s="59"/>
      <c r="N159" s="59"/>
      <c r="O159" s="59"/>
      <c r="P159" s="59"/>
      <c r="Q159" s="59"/>
      <c r="R159" s="59"/>
      <c r="S159" s="59"/>
      <c r="T159" s="59"/>
      <c r="U159" s="59"/>
      <c r="V159" s="59"/>
      <c r="W159" s="59"/>
      <c r="X159" s="45"/>
      <c r="Y159" s="45"/>
      <c r="Z159" s="45"/>
      <c r="AA159" s="45"/>
      <c r="AB159" s="45"/>
      <c r="AC159" s="45"/>
      <c r="AD159" s="44"/>
      <c r="AE159" s="44"/>
      <c r="AF159" s="44"/>
      <c r="AG159" s="44"/>
      <c r="AH159" s="44"/>
      <c r="AI159" s="44"/>
      <c r="AJ159" s="44"/>
      <c r="AK159" s="44"/>
      <c r="AL159" s="44"/>
      <c r="AM159" s="44"/>
      <c r="AN159" s="44"/>
      <c r="AO159" s="44"/>
      <c r="AP159" s="44"/>
      <c r="AQ159" s="44"/>
      <c r="AR159" s="44"/>
      <c r="AS159" s="44"/>
      <c r="AT159" s="44"/>
      <c r="AU159" s="44"/>
      <c r="AV159" s="45"/>
      <c r="AW159" s="46"/>
      <c r="AX159" s="46"/>
      <c r="AY159" s="46"/>
      <c r="AZ159" s="46"/>
      <c r="BA159" s="46"/>
      <c r="BB159" s="46"/>
      <c r="BC159" s="46"/>
    </row>
    <row r="160" ht="15.75" customHeight="1">
      <c r="A160" s="46"/>
      <c r="B160" s="59"/>
      <c r="C160" s="59"/>
      <c r="D160" s="59"/>
      <c r="E160" s="59"/>
      <c r="F160" s="59"/>
      <c r="G160" s="59"/>
      <c r="H160" s="59"/>
      <c r="I160" s="59"/>
      <c r="J160" s="59"/>
      <c r="K160" s="59"/>
      <c r="L160" s="59"/>
      <c r="M160" s="59"/>
      <c r="N160" s="59"/>
      <c r="O160" s="59"/>
      <c r="P160" s="59"/>
      <c r="Q160" s="59"/>
      <c r="R160" s="59"/>
      <c r="S160" s="59"/>
      <c r="T160" s="59"/>
      <c r="U160" s="59"/>
      <c r="V160" s="59"/>
      <c r="W160" s="59"/>
      <c r="X160" s="45"/>
      <c r="Y160" s="45"/>
      <c r="Z160" s="45"/>
      <c r="AA160" s="45"/>
      <c r="AB160" s="45"/>
      <c r="AC160" s="45"/>
      <c r="AD160" s="44"/>
      <c r="AE160" s="44"/>
      <c r="AF160" s="44"/>
      <c r="AG160" s="44"/>
      <c r="AH160" s="44"/>
      <c r="AI160" s="44"/>
      <c r="AJ160" s="44"/>
      <c r="AK160" s="44"/>
      <c r="AL160" s="44"/>
      <c r="AM160" s="44"/>
      <c r="AN160" s="44"/>
      <c r="AO160" s="44"/>
      <c r="AP160" s="44"/>
      <c r="AQ160" s="44"/>
      <c r="AR160" s="44"/>
      <c r="AS160" s="44"/>
      <c r="AT160" s="44"/>
      <c r="AU160" s="44"/>
      <c r="AV160" s="45"/>
      <c r="AW160" s="46"/>
      <c r="AX160" s="46"/>
      <c r="AY160" s="46"/>
      <c r="AZ160" s="46"/>
      <c r="BA160" s="46"/>
      <c r="BB160" s="46"/>
      <c r="BC160" s="46"/>
    </row>
    <row r="161" ht="15.75" customHeight="1">
      <c r="A161" s="46"/>
      <c r="B161" s="59"/>
      <c r="C161" s="59"/>
      <c r="D161" s="59"/>
      <c r="E161" s="59"/>
      <c r="F161" s="59"/>
      <c r="G161" s="59"/>
      <c r="H161" s="59"/>
      <c r="I161" s="59"/>
      <c r="J161" s="59"/>
      <c r="K161" s="59"/>
      <c r="L161" s="59"/>
      <c r="M161" s="59"/>
      <c r="N161" s="59"/>
      <c r="O161" s="59"/>
      <c r="P161" s="59"/>
      <c r="Q161" s="59"/>
      <c r="R161" s="59"/>
      <c r="S161" s="59"/>
      <c r="T161" s="59"/>
      <c r="U161" s="59"/>
      <c r="V161" s="59"/>
      <c r="W161" s="59"/>
      <c r="X161" s="45"/>
      <c r="Y161" s="45"/>
      <c r="Z161" s="45"/>
      <c r="AA161" s="45"/>
      <c r="AB161" s="45"/>
      <c r="AC161" s="45"/>
      <c r="AD161" s="44"/>
      <c r="AE161" s="44"/>
      <c r="AF161" s="44"/>
      <c r="AG161" s="44"/>
      <c r="AH161" s="44"/>
      <c r="AI161" s="44"/>
      <c r="AJ161" s="44"/>
      <c r="AK161" s="44"/>
      <c r="AL161" s="44"/>
      <c r="AM161" s="44"/>
      <c r="AN161" s="44"/>
      <c r="AO161" s="44"/>
      <c r="AP161" s="44"/>
      <c r="AQ161" s="44"/>
      <c r="AR161" s="44"/>
      <c r="AS161" s="44"/>
      <c r="AT161" s="44"/>
      <c r="AU161" s="44"/>
      <c r="AV161" s="45"/>
      <c r="AW161" s="46"/>
      <c r="AX161" s="46"/>
      <c r="AY161" s="46"/>
      <c r="AZ161" s="46"/>
      <c r="BA161" s="46"/>
      <c r="BB161" s="46"/>
      <c r="BC161" s="46"/>
    </row>
    <row r="162" ht="15.75" customHeight="1">
      <c r="A162" s="46"/>
      <c r="B162" s="59"/>
      <c r="C162" s="59"/>
      <c r="D162" s="59"/>
      <c r="E162" s="59"/>
      <c r="F162" s="59"/>
      <c r="G162" s="59"/>
      <c r="H162" s="59"/>
      <c r="I162" s="59"/>
      <c r="J162" s="59"/>
      <c r="K162" s="59"/>
      <c r="L162" s="59"/>
      <c r="M162" s="59"/>
      <c r="N162" s="59"/>
      <c r="O162" s="59"/>
      <c r="P162" s="59"/>
      <c r="Q162" s="59"/>
      <c r="R162" s="59"/>
      <c r="S162" s="59"/>
      <c r="T162" s="59"/>
      <c r="U162" s="59"/>
      <c r="V162" s="59"/>
      <c r="W162" s="59"/>
      <c r="X162" s="45"/>
      <c r="Y162" s="45"/>
      <c r="Z162" s="45"/>
      <c r="AA162" s="45"/>
      <c r="AB162" s="45"/>
      <c r="AC162" s="45"/>
      <c r="AD162" s="44"/>
      <c r="AE162" s="44"/>
      <c r="AF162" s="44"/>
      <c r="AG162" s="44"/>
      <c r="AH162" s="44"/>
      <c r="AI162" s="44"/>
      <c r="AJ162" s="44"/>
      <c r="AK162" s="44"/>
      <c r="AL162" s="44"/>
      <c r="AM162" s="44"/>
      <c r="AN162" s="44"/>
      <c r="AO162" s="44"/>
      <c r="AP162" s="44"/>
      <c r="AQ162" s="44"/>
      <c r="AR162" s="44"/>
      <c r="AS162" s="44"/>
      <c r="AT162" s="44"/>
      <c r="AU162" s="44"/>
      <c r="AV162" s="45"/>
      <c r="AW162" s="46"/>
      <c r="AX162" s="46"/>
      <c r="AY162" s="46"/>
      <c r="AZ162" s="46"/>
      <c r="BA162" s="46"/>
      <c r="BB162" s="46"/>
      <c r="BC162" s="46"/>
    </row>
    <row r="163" ht="15.75" customHeight="1">
      <c r="A163" s="46"/>
      <c r="B163" s="59"/>
      <c r="C163" s="59"/>
      <c r="D163" s="59"/>
      <c r="E163" s="59"/>
      <c r="F163" s="59"/>
      <c r="G163" s="59"/>
      <c r="H163" s="59"/>
      <c r="I163" s="59"/>
      <c r="J163" s="59"/>
      <c r="K163" s="59"/>
      <c r="L163" s="59"/>
      <c r="M163" s="59"/>
      <c r="N163" s="59"/>
      <c r="O163" s="59"/>
      <c r="P163" s="59"/>
      <c r="Q163" s="59"/>
      <c r="R163" s="59"/>
      <c r="S163" s="59"/>
      <c r="T163" s="59"/>
      <c r="U163" s="59"/>
      <c r="V163" s="59"/>
      <c r="W163" s="59"/>
      <c r="X163" s="45"/>
      <c r="Y163" s="45"/>
      <c r="Z163" s="45"/>
      <c r="AA163" s="45"/>
      <c r="AB163" s="45"/>
      <c r="AC163" s="45"/>
      <c r="AD163" s="44"/>
      <c r="AE163" s="44"/>
      <c r="AF163" s="44"/>
      <c r="AG163" s="44"/>
      <c r="AH163" s="44"/>
      <c r="AI163" s="44"/>
      <c r="AJ163" s="44"/>
      <c r="AK163" s="44"/>
      <c r="AL163" s="44"/>
      <c r="AM163" s="44"/>
      <c r="AN163" s="44"/>
      <c r="AO163" s="44"/>
      <c r="AP163" s="44"/>
      <c r="AQ163" s="44"/>
      <c r="AR163" s="44"/>
      <c r="AS163" s="44"/>
      <c r="AT163" s="44"/>
      <c r="AU163" s="44"/>
      <c r="AV163" s="45"/>
      <c r="AW163" s="46"/>
      <c r="AX163" s="46"/>
      <c r="AY163" s="46"/>
      <c r="AZ163" s="46"/>
      <c r="BA163" s="46"/>
      <c r="BB163" s="46"/>
      <c r="BC163" s="46"/>
    </row>
    <row r="164" ht="15.75" customHeight="1">
      <c r="A164" s="46"/>
      <c r="B164" s="59"/>
      <c r="C164" s="59"/>
      <c r="D164" s="59"/>
      <c r="E164" s="59"/>
      <c r="F164" s="59"/>
      <c r="G164" s="59"/>
      <c r="H164" s="59"/>
      <c r="I164" s="59"/>
      <c r="J164" s="59"/>
      <c r="K164" s="59"/>
      <c r="L164" s="59"/>
      <c r="M164" s="59"/>
      <c r="N164" s="59"/>
      <c r="O164" s="59"/>
      <c r="P164" s="59"/>
      <c r="Q164" s="59"/>
      <c r="R164" s="59"/>
      <c r="S164" s="59"/>
      <c r="T164" s="59"/>
      <c r="U164" s="59"/>
      <c r="V164" s="59"/>
      <c r="W164" s="59"/>
      <c r="X164" s="45"/>
      <c r="Y164" s="45"/>
      <c r="Z164" s="45"/>
      <c r="AA164" s="45"/>
      <c r="AB164" s="45"/>
      <c r="AC164" s="45"/>
      <c r="AD164" s="44"/>
      <c r="AE164" s="44"/>
      <c r="AF164" s="44"/>
      <c r="AG164" s="44"/>
      <c r="AH164" s="44"/>
      <c r="AI164" s="44"/>
      <c r="AJ164" s="44"/>
      <c r="AK164" s="44"/>
      <c r="AL164" s="44"/>
      <c r="AM164" s="44"/>
      <c r="AN164" s="44"/>
      <c r="AO164" s="44"/>
      <c r="AP164" s="44"/>
      <c r="AQ164" s="44"/>
      <c r="AR164" s="44"/>
      <c r="AS164" s="44"/>
      <c r="AT164" s="44"/>
      <c r="AU164" s="44"/>
      <c r="AV164" s="45"/>
      <c r="AW164" s="46"/>
      <c r="AX164" s="46"/>
      <c r="AY164" s="46"/>
      <c r="AZ164" s="46"/>
      <c r="BA164" s="46"/>
      <c r="BB164" s="46"/>
      <c r="BC164" s="46"/>
    </row>
    <row r="165" ht="15.75" customHeight="1">
      <c r="A165" s="46"/>
      <c r="B165" s="59"/>
      <c r="C165" s="59"/>
      <c r="D165" s="59"/>
      <c r="E165" s="59"/>
      <c r="F165" s="59"/>
      <c r="G165" s="59"/>
      <c r="H165" s="59"/>
      <c r="I165" s="59"/>
      <c r="J165" s="59"/>
      <c r="K165" s="59"/>
      <c r="L165" s="59"/>
      <c r="M165" s="59"/>
      <c r="N165" s="59"/>
      <c r="O165" s="59"/>
      <c r="P165" s="59"/>
      <c r="Q165" s="59"/>
      <c r="R165" s="59"/>
      <c r="S165" s="59"/>
      <c r="T165" s="59"/>
      <c r="U165" s="59"/>
      <c r="V165" s="59"/>
      <c r="W165" s="59"/>
      <c r="X165" s="45"/>
      <c r="Y165" s="45"/>
      <c r="Z165" s="45"/>
      <c r="AA165" s="45"/>
      <c r="AB165" s="45"/>
      <c r="AC165" s="45"/>
      <c r="AD165" s="44"/>
      <c r="AE165" s="44"/>
      <c r="AF165" s="44"/>
      <c r="AG165" s="44"/>
      <c r="AH165" s="44"/>
      <c r="AI165" s="44"/>
      <c r="AJ165" s="44"/>
      <c r="AK165" s="44"/>
      <c r="AL165" s="44"/>
      <c r="AM165" s="44"/>
      <c r="AN165" s="44"/>
      <c r="AO165" s="44"/>
      <c r="AP165" s="44"/>
      <c r="AQ165" s="44"/>
      <c r="AR165" s="44"/>
      <c r="AS165" s="44"/>
      <c r="AT165" s="44"/>
      <c r="AU165" s="44"/>
      <c r="AV165" s="45"/>
      <c r="AW165" s="46"/>
      <c r="AX165" s="46"/>
      <c r="AY165" s="46"/>
      <c r="AZ165" s="46"/>
      <c r="BA165" s="46"/>
      <c r="BB165" s="46"/>
      <c r="BC165" s="46"/>
    </row>
    <row r="166" ht="15.75" customHeight="1">
      <c r="A166" s="46"/>
      <c r="B166" s="59"/>
      <c r="C166" s="59"/>
      <c r="D166" s="59"/>
      <c r="E166" s="59"/>
      <c r="F166" s="59"/>
      <c r="G166" s="59"/>
      <c r="H166" s="59"/>
      <c r="I166" s="59"/>
      <c r="J166" s="59"/>
      <c r="K166" s="59"/>
      <c r="L166" s="59"/>
      <c r="M166" s="59"/>
      <c r="N166" s="59"/>
      <c r="O166" s="59"/>
      <c r="P166" s="59"/>
      <c r="Q166" s="59"/>
      <c r="R166" s="59"/>
      <c r="S166" s="59"/>
      <c r="T166" s="59"/>
      <c r="U166" s="59"/>
      <c r="V166" s="59"/>
      <c r="W166" s="59"/>
      <c r="X166" s="45"/>
      <c r="Y166" s="45"/>
      <c r="Z166" s="45"/>
      <c r="AA166" s="45"/>
      <c r="AB166" s="45"/>
      <c r="AC166" s="45"/>
      <c r="AD166" s="44"/>
      <c r="AE166" s="44"/>
      <c r="AF166" s="44"/>
      <c r="AG166" s="44"/>
      <c r="AH166" s="44"/>
      <c r="AI166" s="44"/>
      <c r="AJ166" s="44"/>
      <c r="AK166" s="44"/>
      <c r="AL166" s="44"/>
      <c r="AM166" s="44"/>
      <c r="AN166" s="44"/>
      <c r="AO166" s="44"/>
      <c r="AP166" s="44"/>
      <c r="AQ166" s="44"/>
      <c r="AR166" s="44"/>
      <c r="AS166" s="44"/>
      <c r="AT166" s="44"/>
      <c r="AU166" s="44"/>
      <c r="AV166" s="45"/>
      <c r="AW166" s="46"/>
      <c r="AX166" s="46"/>
      <c r="AY166" s="46"/>
      <c r="AZ166" s="46"/>
      <c r="BA166" s="46"/>
      <c r="BB166" s="46"/>
      <c r="BC166" s="46"/>
    </row>
    <row r="167" ht="15.75" customHeight="1">
      <c r="A167" s="46"/>
      <c r="B167" s="59"/>
      <c r="C167" s="59"/>
      <c r="D167" s="59"/>
      <c r="E167" s="59"/>
      <c r="F167" s="59"/>
      <c r="G167" s="59"/>
      <c r="H167" s="59"/>
      <c r="I167" s="59"/>
      <c r="J167" s="59"/>
      <c r="K167" s="59"/>
      <c r="L167" s="59"/>
      <c r="M167" s="59"/>
      <c r="N167" s="59"/>
      <c r="O167" s="59"/>
      <c r="P167" s="59"/>
      <c r="Q167" s="59"/>
      <c r="R167" s="59"/>
      <c r="S167" s="59"/>
      <c r="T167" s="59"/>
      <c r="U167" s="59"/>
      <c r="V167" s="59"/>
      <c r="W167" s="59"/>
      <c r="X167" s="45"/>
      <c r="Y167" s="45"/>
      <c r="Z167" s="45"/>
      <c r="AA167" s="45"/>
      <c r="AB167" s="45"/>
      <c r="AC167" s="45"/>
      <c r="AD167" s="44"/>
      <c r="AE167" s="44"/>
      <c r="AF167" s="44"/>
      <c r="AG167" s="44"/>
      <c r="AH167" s="44"/>
      <c r="AI167" s="44"/>
      <c r="AJ167" s="44"/>
      <c r="AK167" s="44"/>
      <c r="AL167" s="44"/>
      <c r="AM167" s="44"/>
      <c r="AN167" s="44"/>
      <c r="AO167" s="44"/>
      <c r="AP167" s="44"/>
      <c r="AQ167" s="44"/>
      <c r="AR167" s="44"/>
      <c r="AS167" s="44"/>
      <c r="AT167" s="44"/>
      <c r="AU167" s="44"/>
      <c r="AV167" s="45"/>
      <c r="AW167" s="46"/>
      <c r="AX167" s="46"/>
      <c r="AY167" s="46"/>
      <c r="AZ167" s="46"/>
      <c r="BA167" s="46"/>
      <c r="BB167" s="46"/>
      <c r="BC167" s="46"/>
    </row>
    <row r="168" ht="15.75" customHeight="1">
      <c r="A168" s="46"/>
      <c r="B168" s="59"/>
      <c r="C168" s="59"/>
      <c r="D168" s="59"/>
      <c r="E168" s="59"/>
      <c r="F168" s="59"/>
      <c r="G168" s="59"/>
      <c r="H168" s="59"/>
      <c r="I168" s="59"/>
      <c r="J168" s="59"/>
      <c r="K168" s="59"/>
      <c r="L168" s="59"/>
      <c r="M168" s="59"/>
      <c r="N168" s="59"/>
      <c r="O168" s="59"/>
      <c r="P168" s="59"/>
      <c r="Q168" s="59"/>
      <c r="R168" s="59"/>
      <c r="S168" s="59"/>
      <c r="T168" s="59"/>
      <c r="U168" s="59"/>
      <c r="V168" s="59"/>
      <c r="W168" s="59"/>
      <c r="X168" s="45"/>
      <c r="Y168" s="45"/>
      <c r="Z168" s="45"/>
      <c r="AA168" s="45"/>
      <c r="AB168" s="45"/>
      <c r="AC168" s="45"/>
      <c r="AD168" s="44"/>
      <c r="AE168" s="44"/>
      <c r="AF168" s="44"/>
      <c r="AG168" s="44"/>
      <c r="AH168" s="44"/>
      <c r="AI168" s="44"/>
      <c r="AJ168" s="44"/>
      <c r="AK168" s="44"/>
      <c r="AL168" s="44"/>
      <c r="AM168" s="44"/>
      <c r="AN168" s="44"/>
      <c r="AO168" s="44"/>
      <c r="AP168" s="44"/>
      <c r="AQ168" s="44"/>
      <c r="AR168" s="44"/>
      <c r="AS168" s="44"/>
      <c r="AT168" s="44"/>
      <c r="AU168" s="44"/>
      <c r="AV168" s="45"/>
      <c r="AW168" s="46"/>
      <c r="AX168" s="46"/>
      <c r="AY168" s="46"/>
      <c r="AZ168" s="46"/>
      <c r="BA168" s="46"/>
      <c r="BB168" s="46"/>
      <c r="BC168" s="46"/>
    </row>
    <row r="169" ht="15.75" customHeight="1">
      <c r="A169" s="46"/>
      <c r="B169" s="59"/>
      <c r="C169" s="59"/>
      <c r="D169" s="59"/>
      <c r="E169" s="59"/>
      <c r="F169" s="59"/>
      <c r="G169" s="59"/>
      <c r="H169" s="59"/>
      <c r="I169" s="59"/>
      <c r="J169" s="59"/>
      <c r="K169" s="59"/>
      <c r="L169" s="59"/>
      <c r="M169" s="59"/>
      <c r="N169" s="59"/>
      <c r="O169" s="59"/>
      <c r="P169" s="59"/>
      <c r="Q169" s="59"/>
      <c r="R169" s="59"/>
      <c r="S169" s="59"/>
      <c r="T169" s="59"/>
      <c r="U169" s="59"/>
      <c r="V169" s="59"/>
      <c r="W169" s="59"/>
      <c r="X169" s="45"/>
      <c r="Y169" s="45"/>
      <c r="Z169" s="45"/>
      <c r="AA169" s="45"/>
      <c r="AB169" s="45"/>
      <c r="AC169" s="45"/>
      <c r="AD169" s="44"/>
      <c r="AE169" s="44"/>
      <c r="AF169" s="44"/>
      <c r="AG169" s="44"/>
      <c r="AH169" s="44"/>
      <c r="AI169" s="44"/>
      <c r="AJ169" s="44"/>
      <c r="AK169" s="44"/>
      <c r="AL169" s="44"/>
      <c r="AM169" s="44"/>
      <c r="AN169" s="44"/>
      <c r="AO169" s="44"/>
      <c r="AP169" s="44"/>
      <c r="AQ169" s="44"/>
      <c r="AR169" s="44"/>
      <c r="AS169" s="44"/>
      <c r="AT169" s="44"/>
      <c r="AU169" s="44"/>
      <c r="AV169" s="45"/>
      <c r="AW169" s="46"/>
      <c r="AX169" s="46"/>
      <c r="AY169" s="46"/>
      <c r="AZ169" s="46"/>
      <c r="BA169" s="46"/>
      <c r="BB169" s="46"/>
      <c r="BC169" s="46"/>
    </row>
    <row r="170" ht="15.75" customHeight="1">
      <c r="A170" s="46"/>
      <c r="B170" s="59"/>
      <c r="C170" s="59"/>
      <c r="D170" s="59"/>
      <c r="E170" s="59"/>
      <c r="F170" s="59"/>
      <c r="G170" s="59"/>
      <c r="H170" s="59"/>
      <c r="I170" s="59"/>
      <c r="J170" s="59"/>
      <c r="K170" s="59"/>
      <c r="L170" s="59"/>
      <c r="M170" s="59"/>
      <c r="N170" s="59"/>
      <c r="O170" s="59"/>
      <c r="P170" s="59"/>
      <c r="Q170" s="59"/>
      <c r="R170" s="59"/>
      <c r="S170" s="59"/>
      <c r="T170" s="59"/>
      <c r="U170" s="59"/>
      <c r="V170" s="59"/>
      <c r="W170" s="59"/>
      <c r="X170" s="45"/>
      <c r="Y170" s="45"/>
      <c r="Z170" s="45"/>
      <c r="AA170" s="45"/>
      <c r="AB170" s="45"/>
      <c r="AC170" s="45"/>
      <c r="AD170" s="44"/>
      <c r="AE170" s="44"/>
      <c r="AF170" s="44"/>
      <c r="AG170" s="44"/>
      <c r="AH170" s="44"/>
      <c r="AI170" s="44"/>
      <c r="AJ170" s="44"/>
      <c r="AK170" s="44"/>
      <c r="AL170" s="44"/>
      <c r="AM170" s="44"/>
      <c r="AN170" s="44"/>
      <c r="AO170" s="44"/>
      <c r="AP170" s="44"/>
      <c r="AQ170" s="44"/>
      <c r="AR170" s="44"/>
      <c r="AS170" s="44"/>
      <c r="AT170" s="44"/>
      <c r="AU170" s="44"/>
      <c r="AV170" s="45"/>
      <c r="AW170" s="46"/>
      <c r="AX170" s="46"/>
      <c r="AY170" s="46"/>
      <c r="AZ170" s="46"/>
      <c r="BA170" s="46"/>
      <c r="BB170" s="46"/>
      <c r="BC170" s="46"/>
    </row>
    <row r="171" ht="15.75" customHeight="1">
      <c r="A171" s="46"/>
      <c r="B171" s="59"/>
      <c r="C171" s="59"/>
      <c r="D171" s="59"/>
      <c r="E171" s="59"/>
      <c r="F171" s="59"/>
      <c r="G171" s="59"/>
      <c r="H171" s="59"/>
      <c r="I171" s="59"/>
      <c r="J171" s="59"/>
      <c r="K171" s="59"/>
      <c r="L171" s="59"/>
      <c r="M171" s="59"/>
      <c r="N171" s="59"/>
      <c r="O171" s="59"/>
      <c r="P171" s="59"/>
      <c r="Q171" s="59"/>
      <c r="R171" s="59"/>
      <c r="S171" s="59"/>
      <c r="T171" s="59"/>
      <c r="U171" s="59"/>
      <c r="V171" s="59"/>
      <c r="W171" s="59"/>
      <c r="X171" s="45"/>
      <c r="Y171" s="45"/>
      <c r="Z171" s="45"/>
      <c r="AA171" s="45"/>
      <c r="AB171" s="45"/>
      <c r="AC171" s="45"/>
      <c r="AD171" s="44"/>
      <c r="AE171" s="44"/>
      <c r="AF171" s="44"/>
      <c r="AG171" s="44"/>
      <c r="AH171" s="44"/>
      <c r="AI171" s="44"/>
      <c r="AJ171" s="44"/>
      <c r="AK171" s="44"/>
      <c r="AL171" s="44"/>
      <c r="AM171" s="44"/>
      <c r="AN171" s="44"/>
      <c r="AO171" s="44"/>
      <c r="AP171" s="44"/>
      <c r="AQ171" s="44"/>
      <c r="AR171" s="44"/>
      <c r="AS171" s="44"/>
      <c r="AT171" s="44"/>
      <c r="AU171" s="44"/>
      <c r="AV171" s="45"/>
      <c r="AW171" s="46"/>
      <c r="AX171" s="46"/>
      <c r="AY171" s="46"/>
      <c r="AZ171" s="46"/>
      <c r="BA171" s="46"/>
      <c r="BB171" s="46"/>
      <c r="BC171" s="46"/>
    </row>
    <row r="172" ht="15.75" customHeight="1">
      <c r="A172" s="46"/>
      <c r="B172" s="59"/>
      <c r="C172" s="59"/>
      <c r="D172" s="59"/>
      <c r="E172" s="59"/>
      <c r="F172" s="59"/>
      <c r="G172" s="59"/>
      <c r="H172" s="59"/>
      <c r="I172" s="59"/>
      <c r="J172" s="59"/>
      <c r="K172" s="59"/>
      <c r="L172" s="59"/>
      <c r="M172" s="59"/>
      <c r="N172" s="59"/>
      <c r="O172" s="59"/>
      <c r="P172" s="59"/>
      <c r="Q172" s="59"/>
      <c r="R172" s="59"/>
      <c r="S172" s="59"/>
      <c r="T172" s="59"/>
      <c r="U172" s="59"/>
      <c r="V172" s="59"/>
      <c r="W172" s="59"/>
      <c r="X172" s="45"/>
      <c r="Y172" s="45"/>
      <c r="Z172" s="45"/>
      <c r="AA172" s="45"/>
      <c r="AB172" s="45"/>
      <c r="AC172" s="45"/>
      <c r="AD172" s="44"/>
      <c r="AE172" s="44"/>
      <c r="AF172" s="44"/>
      <c r="AG172" s="44"/>
      <c r="AH172" s="44"/>
      <c r="AI172" s="44"/>
      <c r="AJ172" s="44"/>
      <c r="AK172" s="44"/>
      <c r="AL172" s="44"/>
      <c r="AM172" s="44"/>
      <c r="AN172" s="44"/>
      <c r="AO172" s="44"/>
      <c r="AP172" s="44"/>
      <c r="AQ172" s="44"/>
      <c r="AR172" s="44"/>
      <c r="AS172" s="44"/>
      <c r="AT172" s="44"/>
      <c r="AU172" s="44"/>
      <c r="AV172" s="45"/>
      <c r="AW172" s="46"/>
      <c r="AX172" s="46"/>
      <c r="AY172" s="46"/>
      <c r="AZ172" s="46"/>
      <c r="BA172" s="46"/>
      <c r="BB172" s="46"/>
      <c r="BC172" s="46"/>
    </row>
    <row r="173" ht="15.75" customHeight="1">
      <c r="A173" s="46"/>
      <c r="B173" s="59"/>
      <c r="C173" s="59"/>
      <c r="D173" s="59"/>
      <c r="E173" s="59"/>
      <c r="F173" s="59"/>
      <c r="G173" s="59"/>
      <c r="H173" s="59"/>
      <c r="I173" s="59"/>
      <c r="J173" s="59"/>
      <c r="K173" s="59"/>
      <c r="L173" s="59"/>
      <c r="M173" s="59"/>
      <c r="N173" s="59"/>
      <c r="O173" s="59"/>
      <c r="P173" s="59"/>
      <c r="Q173" s="59"/>
      <c r="R173" s="59"/>
      <c r="S173" s="59"/>
      <c r="T173" s="59"/>
      <c r="U173" s="59"/>
      <c r="V173" s="59"/>
      <c r="W173" s="59"/>
      <c r="X173" s="45"/>
      <c r="Y173" s="45"/>
      <c r="Z173" s="45"/>
      <c r="AA173" s="45"/>
      <c r="AB173" s="45"/>
      <c r="AC173" s="45"/>
      <c r="AD173" s="44"/>
      <c r="AE173" s="44"/>
      <c r="AF173" s="44"/>
      <c r="AG173" s="44"/>
      <c r="AH173" s="44"/>
      <c r="AI173" s="44"/>
      <c r="AJ173" s="44"/>
      <c r="AK173" s="44"/>
      <c r="AL173" s="44"/>
      <c r="AM173" s="44"/>
      <c r="AN173" s="44"/>
      <c r="AO173" s="44"/>
      <c r="AP173" s="44"/>
      <c r="AQ173" s="44"/>
      <c r="AR173" s="44"/>
      <c r="AS173" s="44"/>
      <c r="AT173" s="44"/>
      <c r="AU173" s="44"/>
      <c r="AV173" s="45"/>
      <c r="AW173" s="46"/>
      <c r="AX173" s="46"/>
      <c r="AY173" s="46"/>
      <c r="AZ173" s="46"/>
      <c r="BA173" s="46"/>
      <c r="BB173" s="46"/>
      <c r="BC173" s="46"/>
    </row>
    <row r="174" ht="15.75" customHeight="1">
      <c r="A174" s="46"/>
      <c r="B174" s="59"/>
      <c r="C174" s="59"/>
      <c r="D174" s="59"/>
      <c r="E174" s="59"/>
      <c r="F174" s="59"/>
      <c r="G174" s="59"/>
      <c r="H174" s="59"/>
      <c r="I174" s="59"/>
      <c r="J174" s="59"/>
      <c r="K174" s="59"/>
      <c r="L174" s="59"/>
      <c r="M174" s="59"/>
      <c r="N174" s="59"/>
      <c r="O174" s="59"/>
      <c r="P174" s="59"/>
      <c r="Q174" s="59"/>
      <c r="R174" s="59"/>
      <c r="S174" s="59"/>
      <c r="T174" s="59"/>
      <c r="U174" s="59"/>
      <c r="V174" s="59"/>
      <c r="W174" s="59"/>
      <c r="X174" s="45"/>
      <c r="Y174" s="45"/>
      <c r="Z174" s="45"/>
      <c r="AA174" s="45"/>
      <c r="AB174" s="45"/>
      <c r="AC174" s="45"/>
      <c r="AD174" s="44"/>
      <c r="AE174" s="44"/>
      <c r="AF174" s="44"/>
      <c r="AG174" s="44"/>
      <c r="AH174" s="44"/>
      <c r="AI174" s="44"/>
      <c r="AJ174" s="44"/>
      <c r="AK174" s="44"/>
      <c r="AL174" s="44"/>
      <c r="AM174" s="44"/>
      <c r="AN174" s="44"/>
      <c r="AO174" s="44"/>
      <c r="AP174" s="44"/>
      <c r="AQ174" s="44"/>
      <c r="AR174" s="44"/>
      <c r="AS174" s="44"/>
      <c r="AT174" s="44"/>
      <c r="AU174" s="44"/>
      <c r="AV174" s="45"/>
      <c r="AW174" s="46"/>
      <c r="AX174" s="46"/>
      <c r="AY174" s="46"/>
      <c r="AZ174" s="46"/>
      <c r="BA174" s="46"/>
      <c r="BB174" s="46"/>
      <c r="BC174" s="46"/>
    </row>
    <row r="175" ht="15.75" customHeight="1">
      <c r="A175" s="46"/>
      <c r="B175" s="59"/>
      <c r="C175" s="59"/>
      <c r="D175" s="59"/>
      <c r="E175" s="59"/>
      <c r="F175" s="59"/>
      <c r="G175" s="59"/>
      <c r="H175" s="59"/>
      <c r="I175" s="59"/>
      <c r="J175" s="59"/>
      <c r="K175" s="59"/>
      <c r="L175" s="59"/>
      <c r="M175" s="59"/>
      <c r="N175" s="59"/>
      <c r="O175" s="59"/>
      <c r="P175" s="59"/>
      <c r="Q175" s="59"/>
      <c r="R175" s="59"/>
      <c r="S175" s="59"/>
      <c r="T175" s="59"/>
      <c r="U175" s="59"/>
      <c r="V175" s="59"/>
      <c r="W175" s="59"/>
      <c r="X175" s="45"/>
      <c r="Y175" s="45"/>
      <c r="Z175" s="45"/>
      <c r="AA175" s="45"/>
      <c r="AB175" s="45"/>
      <c r="AC175" s="45"/>
      <c r="AD175" s="44"/>
      <c r="AE175" s="44"/>
      <c r="AF175" s="44"/>
      <c r="AG175" s="44"/>
      <c r="AH175" s="44"/>
      <c r="AI175" s="44"/>
      <c r="AJ175" s="44"/>
      <c r="AK175" s="44"/>
      <c r="AL175" s="44"/>
      <c r="AM175" s="44"/>
      <c r="AN175" s="44"/>
      <c r="AO175" s="44"/>
      <c r="AP175" s="44"/>
      <c r="AQ175" s="44"/>
      <c r="AR175" s="44"/>
      <c r="AS175" s="44"/>
      <c r="AT175" s="44"/>
      <c r="AU175" s="44"/>
      <c r="AV175" s="45"/>
      <c r="AW175" s="46"/>
      <c r="AX175" s="46"/>
      <c r="AY175" s="46"/>
      <c r="AZ175" s="46"/>
      <c r="BA175" s="46"/>
      <c r="BB175" s="46"/>
      <c r="BC175" s="46"/>
    </row>
    <row r="176" ht="15.75" customHeight="1">
      <c r="A176" s="46"/>
      <c r="B176" s="59"/>
      <c r="C176" s="59"/>
      <c r="D176" s="59"/>
      <c r="E176" s="59"/>
      <c r="F176" s="59"/>
      <c r="G176" s="59"/>
      <c r="H176" s="59"/>
      <c r="I176" s="59"/>
      <c r="J176" s="59"/>
      <c r="K176" s="59"/>
      <c r="L176" s="59"/>
      <c r="M176" s="59"/>
      <c r="N176" s="59"/>
      <c r="O176" s="59"/>
      <c r="P176" s="59"/>
      <c r="Q176" s="59"/>
      <c r="R176" s="59"/>
      <c r="S176" s="59"/>
      <c r="T176" s="59"/>
      <c r="U176" s="59"/>
      <c r="V176" s="59"/>
      <c r="W176" s="59"/>
      <c r="X176" s="45"/>
      <c r="Y176" s="45"/>
      <c r="Z176" s="45"/>
      <c r="AA176" s="45"/>
      <c r="AB176" s="45"/>
      <c r="AC176" s="45"/>
      <c r="AD176" s="44"/>
      <c r="AE176" s="44"/>
      <c r="AF176" s="44"/>
      <c r="AG176" s="44"/>
      <c r="AH176" s="44"/>
      <c r="AI176" s="44"/>
      <c r="AJ176" s="44"/>
      <c r="AK176" s="44"/>
      <c r="AL176" s="44"/>
      <c r="AM176" s="44"/>
      <c r="AN176" s="44"/>
      <c r="AO176" s="44"/>
      <c r="AP176" s="44"/>
      <c r="AQ176" s="44"/>
      <c r="AR176" s="44"/>
      <c r="AS176" s="44"/>
      <c r="AT176" s="44"/>
      <c r="AU176" s="44"/>
      <c r="AV176" s="45"/>
      <c r="AW176" s="46"/>
      <c r="AX176" s="46"/>
      <c r="AY176" s="46"/>
      <c r="AZ176" s="46"/>
      <c r="BA176" s="46"/>
      <c r="BB176" s="46"/>
      <c r="BC176" s="46"/>
    </row>
    <row r="177" ht="15.75" customHeight="1">
      <c r="A177" s="46"/>
      <c r="B177" s="59"/>
      <c r="C177" s="59"/>
      <c r="D177" s="59"/>
      <c r="E177" s="59"/>
      <c r="F177" s="59"/>
      <c r="G177" s="59"/>
      <c r="H177" s="59"/>
      <c r="I177" s="59"/>
      <c r="J177" s="59"/>
      <c r="K177" s="59"/>
      <c r="L177" s="59"/>
      <c r="M177" s="59"/>
      <c r="N177" s="59"/>
      <c r="O177" s="59"/>
      <c r="P177" s="59"/>
      <c r="Q177" s="59"/>
      <c r="R177" s="59"/>
      <c r="S177" s="59"/>
      <c r="T177" s="59"/>
      <c r="U177" s="59"/>
      <c r="V177" s="59"/>
      <c r="W177" s="59"/>
      <c r="X177" s="45"/>
      <c r="Y177" s="45"/>
      <c r="Z177" s="45"/>
      <c r="AA177" s="45"/>
      <c r="AB177" s="45"/>
      <c r="AC177" s="45"/>
      <c r="AD177" s="44"/>
      <c r="AE177" s="44"/>
      <c r="AF177" s="44"/>
      <c r="AG177" s="44"/>
      <c r="AH177" s="44"/>
      <c r="AI177" s="44"/>
      <c r="AJ177" s="44"/>
      <c r="AK177" s="44"/>
      <c r="AL177" s="44"/>
      <c r="AM177" s="44"/>
      <c r="AN177" s="44"/>
      <c r="AO177" s="44"/>
      <c r="AP177" s="44"/>
      <c r="AQ177" s="44"/>
      <c r="AR177" s="44"/>
      <c r="AS177" s="44"/>
      <c r="AT177" s="44"/>
      <c r="AU177" s="44"/>
      <c r="AV177" s="45"/>
      <c r="AW177" s="46"/>
      <c r="AX177" s="46"/>
      <c r="AY177" s="46"/>
      <c r="AZ177" s="46"/>
      <c r="BA177" s="46"/>
      <c r="BB177" s="46"/>
      <c r="BC177" s="46"/>
    </row>
    <row r="178" ht="15.75" customHeight="1">
      <c r="A178" s="46"/>
      <c r="B178" s="59"/>
      <c r="C178" s="59"/>
      <c r="D178" s="59"/>
      <c r="E178" s="59"/>
      <c r="F178" s="59"/>
      <c r="G178" s="59"/>
      <c r="H178" s="59"/>
      <c r="I178" s="59"/>
      <c r="J178" s="59"/>
      <c r="K178" s="59"/>
      <c r="L178" s="59"/>
      <c r="M178" s="59"/>
      <c r="N178" s="59"/>
      <c r="O178" s="59"/>
      <c r="P178" s="59"/>
      <c r="Q178" s="59"/>
      <c r="R178" s="59"/>
      <c r="S178" s="59"/>
      <c r="T178" s="59"/>
      <c r="U178" s="59"/>
      <c r="V178" s="59"/>
      <c r="W178" s="59"/>
      <c r="X178" s="45"/>
      <c r="Y178" s="45"/>
      <c r="Z178" s="45"/>
      <c r="AA178" s="45"/>
      <c r="AB178" s="45"/>
      <c r="AC178" s="45"/>
      <c r="AD178" s="44"/>
      <c r="AE178" s="44"/>
      <c r="AF178" s="44"/>
      <c r="AG178" s="44"/>
      <c r="AH178" s="44"/>
      <c r="AI178" s="44"/>
      <c r="AJ178" s="44"/>
      <c r="AK178" s="44"/>
      <c r="AL178" s="44"/>
      <c r="AM178" s="44"/>
      <c r="AN178" s="44"/>
      <c r="AO178" s="44"/>
      <c r="AP178" s="44"/>
      <c r="AQ178" s="44"/>
      <c r="AR178" s="44"/>
      <c r="AS178" s="44"/>
      <c r="AT178" s="44"/>
      <c r="AU178" s="44"/>
      <c r="AV178" s="45"/>
      <c r="AW178" s="46"/>
      <c r="AX178" s="46"/>
      <c r="AY178" s="46"/>
      <c r="AZ178" s="46"/>
      <c r="BA178" s="46"/>
      <c r="BB178" s="46"/>
      <c r="BC178" s="46"/>
    </row>
    <row r="179" ht="15.75" customHeight="1">
      <c r="A179" s="46"/>
      <c r="B179" s="59"/>
      <c r="C179" s="59"/>
      <c r="D179" s="59"/>
      <c r="E179" s="59"/>
      <c r="F179" s="59"/>
      <c r="G179" s="59"/>
      <c r="H179" s="59"/>
      <c r="I179" s="59"/>
      <c r="J179" s="59"/>
      <c r="K179" s="59"/>
      <c r="L179" s="59"/>
      <c r="M179" s="59"/>
      <c r="N179" s="59"/>
      <c r="O179" s="59"/>
      <c r="P179" s="59"/>
      <c r="Q179" s="59"/>
      <c r="R179" s="59"/>
      <c r="S179" s="59"/>
      <c r="T179" s="59"/>
      <c r="U179" s="59"/>
      <c r="V179" s="59"/>
      <c r="W179" s="59"/>
      <c r="X179" s="45"/>
      <c r="Y179" s="45"/>
      <c r="Z179" s="45"/>
      <c r="AA179" s="45"/>
      <c r="AB179" s="45"/>
      <c r="AC179" s="45"/>
      <c r="AD179" s="44"/>
      <c r="AE179" s="44"/>
      <c r="AF179" s="44"/>
      <c r="AG179" s="44"/>
      <c r="AH179" s="44"/>
      <c r="AI179" s="44"/>
      <c r="AJ179" s="44"/>
      <c r="AK179" s="44"/>
      <c r="AL179" s="44"/>
      <c r="AM179" s="44"/>
      <c r="AN179" s="44"/>
      <c r="AO179" s="44"/>
      <c r="AP179" s="44"/>
      <c r="AQ179" s="44"/>
      <c r="AR179" s="44"/>
      <c r="AS179" s="44"/>
      <c r="AT179" s="44"/>
      <c r="AU179" s="44"/>
      <c r="AV179" s="45"/>
      <c r="AW179" s="46"/>
      <c r="AX179" s="46"/>
      <c r="AY179" s="46"/>
      <c r="AZ179" s="46"/>
      <c r="BA179" s="46"/>
      <c r="BB179" s="46"/>
      <c r="BC179" s="46"/>
    </row>
    <row r="180" ht="15.75" customHeight="1">
      <c r="A180" s="46"/>
      <c r="B180" s="59"/>
      <c r="C180" s="59"/>
      <c r="D180" s="59"/>
      <c r="E180" s="59"/>
      <c r="F180" s="59"/>
      <c r="G180" s="59"/>
      <c r="H180" s="59"/>
      <c r="I180" s="59"/>
      <c r="J180" s="59"/>
      <c r="K180" s="59"/>
      <c r="L180" s="59"/>
      <c r="M180" s="59"/>
      <c r="N180" s="59"/>
      <c r="O180" s="59"/>
      <c r="P180" s="59"/>
      <c r="Q180" s="59"/>
      <c r="R180" s="59"/>
      <c r="S180" s="59"/>
      <c r="T180" s="59"/>
      <c r="U180" s="59"/>
      <c r="V180" s="59"/>
      <c r="W180" s="59"/>
      <c r="X180" s="45"/>
      <c r="Y180" s="45"/>
      <c r="Z180" s="45"/>
      <c r="AA180" s="45"/>
      <c r="AB180" s="45"/>
      <c r="AC180" s="45"/>
      <c r="AD180" s="44"/>
      <c r="AE180" s="44"/>
      <c r="AF180" s="44"/>
      <c r="AG180" s="44"/>
      <c r="AH180" s="44"/>
      <c r="AI180" s="44"/>
      <c r="AJ180" s="44"/>
      <c r="AK180" s="44"/>
      <c r="AL180" s="44"/>
      <c r="AM180" s="44"/>
      <c r="AN180" s="44"/>
      <c r="AO180" s="44"/>
      <c r="AP180" s="44"/>
      <c r="AQ180" s="44"/>
      <c r="AR180" s="44"/>
      <c r="AS180" s="44"/>
      <c r="AT180" s="44"/>
      <c r="AU180" s="44"/>
      <c r="AV180" s="45"/>
      <c r="AW180" s="46"/>
      <c r="AX180" s="46"/>
      <c r="AY180" s="46"/>
      <c r="AZ180" s="46"/>
      <c r="BA180" s="46"/>
      <c r="BB180" s="46"/>
      <c r="BC180" s="46"/>
    </row>
    <row r="181" ht="15.75" customHeight="1">
      <c r="A181" s="46"/>
      <c r="B181" s="59"/>
      <c r="C181" s="59"/>
      <c r="D181" s="59"/>
      <c r="E181" s="59"/>
      <c r="F181" s="59"/>
      <c r="G181" s="59"/>
      <c r="H181" s="59"/>
      <c r="I181" s="59"/>
      <c r="J181" s="59"/>
      <c r="K181" s="59"/>
      <c r="L181" s="59"/>
      <c r="M181" s="59"/>
      <c r="N181" s="59"/>
      <c r="O181" s="59"/>
      <c r="P181" s="59"/>
      <c r="Q181" s="59"/>
      <c r="R181" s="59"/>
      <c r="S181" s="59"/>
      <c r="T181" s="59"/>
      <c r="U181" s="59"/>
      <c r="V181" s="59"/>
      <c r="W181" s="59"/>
      <c r="X181" s="45"/>
      <c r="Y181" s="45"/>
      <c r="Z181" s="45"/>
      <c r="AA181" s="45"/>
      <c r="AB181" s="45"/>
      <c r="AC181" s="45"/>
      <c r="AD181" s="44"/>
      <c r="AE181" s="44"/>
      <c r="AF181" s="44"/>
      <c r="AG181" s="44"/>
      <c r="AH181" s="44"/>
      <c r="AI181" s="44"/>
      <c r="AJ181" s="44"/>
      <c r="AK181" s="44"/>
      <c r="AL181" s="44"/>
      <c r="AM181" s="44"/>
      <c r="AN181" s="44"/>
      <c r="AO181" s="44"/>
      <c r="AP181" s="44"/>
      <c r="AQ181" s="44"/>
      <c r="AR181" s="44"/>
      <c r="AS181" s="44"/>
      <c r="AT181" s="44"/>
      <c r="AU181" s="44"/>
      <c r="AV181" s="45"/>
      <c r="AW181" s="46"/>
      <c r="AX181" s="46"/>
      <c r="AY181" s="46"/>
      <c r="AZ181" s="46"/>
      <c r="BA181" s="46"/>
      <c r="BB181" s="46"/>
      <c r="BC181" s="46"/>
    </row>
    <row r="182" ht="15.75" customHeight="1">
      <c r="A182" s="46"/>
      <c r="B182" s="59"/>
      <c r="C182" s="59"/>
      <c r="D182" s="59"/>
      <c r="E182" s="59"/>
      <c r="F182" s="59"/>
      <c r="G182" s="59"/>
      <c r="H182" s="59"/>
      <c r="I182" s="59"/>
      <c r="J182" s="59"/>
      <c r="K182" s="59"/>
      <c r="L182" s="59"/>
      <c r="M182" s="59"/>
      <c r="N182" s="59"/>
      <c r="O182" s="59"/>
      <c r="P182" s="59"/>
      <c r="Q182" s="59"/>
      <c r="R182" s="59"/>
      <c r="S182" s="59"/>
      <c r="T182" s="59"/>
      <c r="U182" s="59"/>
      <c r="V182" s="59"/>
      <c r="W182" s="59"/>
      <c r="X182" s="45"/>
      <c r="Y182" s="45"/>
      <c r="Z182" s="45"/>
      <c r="AA182" s="45"/>
      <c r="AB182" s="45"/>
      <c r="AC182" s="45"/>
      <c r="AD182" s="44"/>
      <c r="AE182" s="44"/>
      <c r="AF182" s="44"/>
      <c r="AG182" s="44"/>
      <c r="AH182" s="44"/>
      <c r="AI182" s="44"/>
      <c r="AJ182" s="44"/>
      <c r="AK182" s="44"/>
      <c r="AL182" s="44"/>
      <c r="AM182" s="44"/>
      <c r="AN182" s="44"/>
      <c r="AO182" s="44"/>
      <c r="AP182" s="44"/>
      <c r="AQ182" s="44"/>
      <c r="AR182" s="44"/>
      <c r="AS182" s="44"/>
      <c r="AT182" s="44"/>
      <c r="AU182" s="44"/>
      <c r="AV182" s="45"/>
      <c r="AW182" s="46"/>
      <c r="AX182" s="46"/>
      <c r="AY182" s="46"/>
      <c r="AZ182" s="46"/>
      <c r="BA182" s="46"/>
      <c r="BB182" s="46"/>
      <c r="BC182" s="46"/>
    </row>
    <row r="183" ht="15.75" customHeight="1">
      <c r="A183" s="46"/>
      <c r="B183" s="59"/>
      <c r="C183" s="59"/>
      <c r="D183" s="59"/>
      <c r="E183" s="59"/>
      <c r="F183" s="59"/>
      <c r="G183" s="59"/>
      <c r="H183" s="59"/>
      <c r="I183" s="59"/>
      <c r="J183" s="59"/>
      <c r="K183" s="59"/>
      <c r="L183" s="59"/>
      <c r="M183" s="59"/>
      <c r="N183" s="59"/>
      <c r="O183" s="59"/>
      <c r="P183" s="59"/>
      <c r="Q183" s="59"/>
      <c r="R183" s="59"/>
      <c r="S183" s="59"/>
      <c r="T183" s="59"/>
      <c r="U183" s="59"/>
      <c r="V183" s="59"/>
      <c r="W183" s="59"/>
      <c r="X183" s="45"/>
      <c r="Y183" s="45"/>
      <c r="Z183" s="45"/>
      <c r="AA183" s="45"/>
      <c r="AB183" s="45"/>
      <c r="AC183" s="45"/>
      <c r="AD183" s="44"/>
      <c r="AE183" s="44"/>
      <c r="AF183" s="44"/>
      <c r="AG183" s="44"/>
      <c r="AH183" s="44"/>
      <c r="AI183" s="44"/>
      <c r="AJ183" s="44"/>
      <c r="AK183" s="44"/>
      <c r="AL183" s="44"/>
      <c r="AM183" s="44"/>
      <c r="AN183" s="44"/>
      <c r="AO183" s="44"/>
      <c r="AP183" s="44"/>
      <c r="AQ183" s="44"/>
      <c r="AR183" s="44"/>
      <c r="AS183" s="44"/>
      <c r="AT183" s="44"/>
      <c r="AU183" s="44"/>
      <c r="AV183" s="45"/>
      <c r="AW183" s="46"/>
      <c r="AX183" s="46"/>
      <c r="AY183" s="46"/>
      <c r="AZ183" s="46"/>
      <c r="BA183" s="46"/>
      <c r="BB183" s="46"/>
      <c r="BC183" s="46"/>
    </row>
    <row r="184" ht="15.75" customHeight="1">
      <c r="A184" s="46"/>
      <c r="B184" s="59"/>
      <c r="C184" s="59"/>
      <c r="D184" s="59"/>
      <c r="E184" s="59"/>
      <c r="F184" s="59"/>
      <c r="G184" s="59"/>
      <c r="H184" s="59"/>
      <c r="I184" s="59"/>
      <c r="J184" s="59"/>
      <c r="K184" s="59"/>
      <c r="L184" s="59"/>
      <c r="M184" s="59"/>
      <c r="N184" s="59"/>
      <c r="O184" s="59"/>
      <c r="P184" s="59"/>
      <c r="Q184" s="59"/>
      <c r="R184" s="59"/>
      <c r="S184" s="59"/>
      <c r="T184" s="59"/>
      <c r="U184" s="59"/>
      <c r="V184" s="59"/>
      <c r="W184" s="59"/>
      <c r="X184" s="45"/>
      <c r="Y184" s="45"/>
      <c r="Z184" s="45"/>
      <c r="AA184" s="45"/>
      <c r="AB184" s="45"/>
      <c r="AC184" s="45"/>
      <c r="AD184" s="44"/>
      <c r="AE184" s="44"/>
      <c r="AF184" s="44"/>
      <c r="AG184" s="44"/>
      <c r="AH184" s="44"/>
      <c r="AI184" s="44"/>
      <c r="AJ184" s="44"/>
      <c r="AK184" s="44"/>
      <c r="AL184" s="44"/>
      <c r="AM184" s="44"/>
      <c r="AN184" s="44"/>
      <c r="AO184" s="44"/>
      <c r="AP184" s="44"/>
      <c r="AQ184" s="44"/>
      <c r="AR184" s="44"/>
      <c r="AS184" s="44"/>
      <c r="AT184" s="44"/>
      <c r="AU184" s="44"/>
      <c r="AV184" s="45"/>
      <c r="AW184" s="46"/>
      <c r="AX184" s="46"/>
      <c r="AY184" s="46"/>
      <c r="AZ184" s="46"/>
      <c r="BA184" s="46"/>
      <c r="BB184" s="46"/>
      <c r="BC184" s="46"/>
    </row>
    <row r="185" ht="15.75" customHeight="1">
      <c r="A185" s="46"/>
      <c r="B185" s="59"/>
      <c r="C185" s="59"/>
      <c r="D185" s="59"/>
      <c r="E185" s="59"/>
      <c r="F185" s="59"/>
      <c r="G185" s="59"/>
      <c r="H185" s="59"/>
      <c r="I185" s="59"/>
      <c r="J185" s="59"/>
      <c r="K185" s="59"/>
      <c r="L185" s="59"/>
      <c r="M185" s="59"/>
      <c r="N185" s="59"/>
      <c r="O185" s="59"/>
      <c r="P185" s="59"/>
      <c r="Q185" s="59"/>
      <c r="R185" s="59"/>
      <c r="S185" s="59"/>
      <c r="T185" s="59"/>
      <c r="U185" s="59"/>
      <c r="V185" s="59"/>
      <c r="W185" s="59"/>
      <c r="X185" s="45"/>
      <c r="Y185" s="45"/>
      <c r="Z185" s="45"/>
      <c r="AA185" s="45"/>
      <c r="AB185" s="45"/>
      <c r="AC185" s="45"/>
      <c r="AD185" s="44"/>
      <c r="AE185" s="44"/>
      <c r="AF185" s="44"/>
      <c r="AG185" s="44"/>
      <c r="AH185" s="44"/>
      <c r="AI185" s="44"/>
      <c r="AJ185" s="44"/>
      <c r="AK185" s="44"/>
      <c r="AL185" s="44"/>
      <c r="AM185" s="44"/>
      <c r="AN185" s="44"/>
      <c r="AO185" s="44"/>
      <c r="AP185" s="44"/>
      <c r="AQ185" s="44"/>
      <c r="AR185" s="44"/>
      <c r="AS185" s="44"/>
      <c r="AT185" s="44"/>
      <c r="AU185" s="44"/>
      <c r="AV185" s="45"/>
      <c r="AW185" s="46"/>
      <c r="AX185" s="46"/>
      <c r="AY185" s="46"/>
      <c r="AZ185" s="46"/>
      <c r="BA185" s="46"/>
      <c r="BB185" s="46"/>
      <c r="BC185" s="46"/>
    </row>
    <row r="186" ht="15.75" customHeight="1">
      <c r="A186" s="46"/>
      <c r="B186" s="59"/>
      <c r="C186" s="59"/>
      <c r="D186" s="59"/>
      <c r="E186" s="59"/>
      <c r="F186" s="59"/>
      <c r="G186" s="59"/>
      <c r="H186" s="59"/>
      <c r="I186" s="59"/>
      <c r="J186" s="59"/>
      <c r="K186" s="59"/>
      <c r="L186" s="59"/>
      <c r="M186" s="59"/>
      <c r="N186" s="59"/>
      <c r="O186" s="59"/>
      <c r="P186" s="59"/>
      <c r="Q186" s="59"/>
      <c r="R186" s="59"/>
      <c r="S186" s="59"/>
      <c r="T186" s="59"/>
      <c r="U186" s="59"/>
      <c r="V186" s="59"/>
      <c r="W186" s="59"/>
      <c r="X186" s="45"/>
      <c r="Y186" s="45"/>
      <c r="Z186" s="45"/>
      <c r="AA186" s="45"/>
      <c r="AB186" s="45"/>
      <c r="AC186" s="45"/>
      <c r="AD186" s="44"/>
      <c r="AE186" s="44"/>
      <c r="AF186" s="44"/>
      <c r="AG186" s="44"/>
      <c r="AH186" s="44"/>
      <c r="AI186" s="44"/>
      <c r="AJ186" s="44"/>
      <c r="AK186" s="44"/>
      <c r="AL186" s="44"/>
      <c r="AM186" s="44"/>
      <c r="AN186" s="44"/>
      <c r="AO186" s="44"/>
      <c r="AP186" s="44"/>
      <c r="AQ186" s="44"/>
      <c r="AR186" s="44"/>
      <c r="AS186" s="44"/>
      <c r="AT186" s="44"/>
      <c r="AU186" s="44"/>
      <c r="AV186" s="45"/>
      <c r="AW186" s="46"/>
      <c r="AX186" s="46"/>
      <c r="AY186" s="46"/>
      <c r="AZ186" s="46"/>
      <c r="BA186" s="46"/>
      <c r="BB186" s="46"/>
      <c r="BC186" s="46"/>
    </row>
    <row r="187" ht="15.75" customHeight="1">
      <c r="A187" s="46"/>
      <c r="B187" s="59"/>
      <c r="C187" s="59"/>
      <c r="D187" s="59"/>
      <c r="E187" s="59"/>
      <c r="F187" s="59"/>
      <c r="G187" s="59"/>
      <c r="H187" s="59"/>
      <c r="I187" s="59"/>
      <c r="J187" s="59"/>
      <c r="K187" s="59"/>
      <c r="L187" s="59"/>
      <c r="M187" s="59"/>
      <c r="N187" s="59"/>
      <c r="O187" s="59"/>
      <c r="P187" s="59"/>
      <c r="Q187" s="59"/>
      <c r="R187" s="59"/>
      <c r="S187" s="59"/>
      <c r="T187" s="59"/>
      <c r="U187" s="59"/>
      <c r="V187" s="59"/>
      <c r="W187" s="59"/>
      <c r="X187" s="45"/>
      <c r="Y187" s="45"/>
      <c r="Z187" s="45"/>
      <c r="AA187" s="45"/>
      <c r="AB187" s="45"/>
      <c r="AC187" s="45"/>
      <c r="AD187" s="44"/>
      <c r="AE187" s="44"/>
      <c r="AF187" s="44"/>
      <c r="AG187" s="44"/>
      <c r="AH187" s="44"/>
      <c r="AI187" s="44"/>
      <c r="AJ187" s="44"/>
      <c r="AK187" s="44"/>
      <c r="AL187" s="44"/>
      <c r="AM187" s="44"/>
      <c r="AN187" s="44"/>
      <c r="AO187" s="44"/>
      <c r="AP187" s="44"/>
      <c r="AQ187" s="44"/>
      <c r="AR187" s="44"/>
      <c r="AS187" s="44"/>
      <c r="AT187" s="44"/>
      <c r="AU187" s="44"/>
      <c r="AV187" s="45"/>
      <c r="AW187" s="46"/>
      <c r="AX187" s="46"/>
      <c r="AY187" s="46"/>
      <c r="AZ187" s="46"/>
      <c r="BA187" s="46"/>
      <c r="BB187" s="46"/>
      <c r="BC187" s="46"/>
    </row>
    <row r="188" ht="15.75" customHeight="1">
      <c r="A188" s="46"/>
      <c r="B188" s="59"/>
      <c r="C188" s="59"/>
      <c r="D188" s="59"/>
      <c r="E188" s="59"/>
      <c r="F188" s="59"/>
      <c r="G188" s="59"/>
      <c r="H188" s="59"/>
      <c r="I188" s="59"/>
      <c r="J188" s="59"/>
      <c r="K188" s="59"/>
      <c r="L188" s="59"/>
      <c r="M188" s="59"/>
      <c r="N188" s="59"/>
      <c r="O188" s="59"/>
      <c r="P188" s="59"/>
      <c r="Q188" s="59"/>
      <c r="R188" s="59"/>
      <c r="S188" s="59"/>
      <c r="T188" s="59"/>
      <c r="U188" s="59"/>
      <c r="V188" s="59"/>
      <c r="W188" s="59"/>
      <c r="X188" s="45"/>
      <c r="Y188" s="45"/>
      <c r="Z188" s="45"/>
      <c r="AA188" s="45"/>
      <c r="AB188" s="45"/>
      <c r="AC188" s="45"/>
      <c r="AD188" s="44"/>
      <c r="AE188" s="44"/>
      <c r="AF188" s="44"/>
      <c r="AG188" s="44"/>
      <c r="AH188" s="44"/>
      <c r="AI188" s="44"/>
      <c r="AJ188" s="44"/>
      <c r="AK188" s="44"/>
      <c r="AL188" s="44"/>
      <c r="AM188" s="44"/>
      <c r="AN188" s="44"/>
      <c r="AO188" s="44"/>
      <c r="AP188" s="44"/>
      <c r="AQ188" s="44"/>
      <c r="AR188" s="44"/>
      <c r="AS188" s="44"/>
      <c r="AT188" s="44"/>
      <c r="AU188" s="44"/>
      <c r="AV188" s="45"/>
      <c r="AW188" s="46"/>
      <c r="AX188" s="46"/>
      <c r="AY188" s="46"/>
      <c r="AZ188" s="46"/>
      <c r="BA188" s="46"/>
      <c r="BB188" s="46"/>
      <c r="BC188" s="46"/>
    </row>
    <row r="189" ht="15.75" customHeight="1">
      <c r="A189" s="46"/>
      <c r="B189" s="59"/>
      <c r="C189" s="59"/>
      <c r="D189" s="59"/>
      <c r="E189" s="59"/>
      <c r="F189" s="59"/>
      <c r="G189" s="59"/>
      <c r="H189" s="59"/>
      <c r="I189" s="59"/>
      <c r="J189" s="59"/>
      <c r="K189" s="59"/>
      <c r="L189" s="59"/>
      <c r="M189" s="59"/>
      <c r="N189" s="59"/>
      <c r="O189" s="59"/>
      <c r="P189" s="59"/>
      <c r="Q189" s="59"/>
      <c r="R189" s="59"/>
      <c r="S189" s="59"/>
      <c r="T189" s="59"/>
      <c r="U189" s="59"/>
      <c r="V189" s="59"/>
      <c r="W189" s="59"/>
      <c r="X189" s="45"/>
      <c r="Y189" s="45"/>
      <c r="Z189" s="45"/>
      <c r="AA189" s="45"/>
      <c r="AB189" s="45"/>
      <c r="AC189" s="45"/>
      <c r="AD189" s="44"/>
      <c r="AE189" s="44"/>
      <c r="AF189" s="44"/>
      <c r="AG189" s="44"/>
      <c r="AH189" s="44"/>
      <c r="AI189" s="44"/>
      <c r="AJ189" s="44"/>
      <c r="AK189" s="44"/>
      <c r="AL189" s="44"/>
      <c r="AM189" s="44"/>
      <c r="AN189" s="44"/>
      <c r="AO189" s="44"/>
      <c r="AP189" s="44"/>
      <c r="AQ189" s="44"/>
      <c r="AR189" s="44"/>
      <c r="AS189" s="44"/>
      <c r="AT189" s="44"/>
      <c r="AU189" s="44"/>
      <c r="AV189" s="45"/>
      <c r="AW189" s="46"/>
      <c r="AX189" s="46"/>
      <c r="AY189" s="46"/>
      <c r="AZ189" s="46"/>
      <c r="BA189" s="46"/>
      <c r="BB189" s="46"/>
      <c r="BC189" s="46"/>
    </row>
    <row r="190" ht="15.75" customHeight="1">
      <c r="A190" s="46"/>
      <c r="B190" s="59"/>
      <c r="C190" s="59"/>
      <c r="D190" s="59"/>
      <c r="E190" s="59"/>
      <c r="F190" s="59"/>
      <c r="G190" s="59"/>
      <c r="H190" s="59"/>
      <c r="I190" s="59"/>
      <c r="J190" s="59"/>
      <c r="K190" s="59"/>
      <c r="L190" s="59"/>
      <c r="M190" s="59"/>
      <c r="N190" s="59"/>
      <c r="O190" s="59"/>
      <c r="P190" s="59"/>
      <c r="Q190" s="59"/>
      <c r="R190" s="59"/>
      <c r="S190" s="59"/>
      <c r="T190" s="59"/>
      <c r="U190" s="59"/>
      <c r="V190" s="59"/>
      <c r="W190" s="59"/>
      <c r="X190" s="45"/>
      <c r="Y190" s="45"/>
      <c r="Z190" s="45"/>
      <c r="AA190" s="45"/>
      <c r="AB190" s="45"/>
      <c r="AC190" s="45"/>
      <c r="AD190" s="44"/>
      <c r="AE190" s="44"/>
      <c r="AF190" s="44"/>
      <c r="AG190" s="44"/>
      <c r="AH190" s="44"/>
      <c r="AI190" s="44"/>
      <c r="AJ190" s="44"/>
      <c r="AK190" s="44"/>
      <c r="AL190" s="44"/>
      <c r="AM190" s="44"/>
      <c r="AN190" s="44"/>
      <c r="AO190" s="44"/>
      <c r="AP190" s="44"/>
      <c r="AQ190" s="44"/>
      <c r="AR190" s="44"/>
      <c r="AS190" s="44"/>
      <c r="AT190" s="44"/>
      <c r="AU190" s="44"/>
      <c r="AV190" s="45"/>
      <c r="AW190" s="46"/>
      <c r="AX190" s="46"/>
      <c r="AY190" s="46"/>
      <c r="AZ190" s="46"/>
      <c r="BA190" s="46"/>
      <c r="BB190" s="46"/>
      <c r="BC190" s="46"/>
    </row>
    <row r="191" ht="15.75" customHeight="1">
      <c r="A191" s="46"/>
      <c r="B191" s="59"/>
      <c r="C191" s="59"/>
      <c r="D191" s="59"/>
      <c r="E191" s="59"/>
      <c r="F191" s="59"/>
      <c r="G191" s="59"/>
      <c r="H191" s="59"/>
      <c r="I191" s="59"/>
      <c r="J191" s="59"/>
      <c r="K191" s="59"/>
      <c r="L191" s="59"/>
      <c r="M191" s="59"/>
      <c r="N191" s="59"/>
      <c r="O191" s="59"/>
      <c r="P191" s="59"/>
      <c r="Q191" s="59"/>
      <c r="R191" s="59"/>
      <c r="S191" s="59"/>
      <c r="T191" s="59"/>
      <c r="U191" s="59"/>
      <c r="V191" s="59"/>
      <c r="W191" s="59"/>
      <c r="X191" s="45"/>
      <c r="Y191" s="45"/>
      <c r="Z191" s="45"/>
      <c r="AA191" s="45"/>
      <c r="AB191" s="45"/>
      <c r="AC191" s="45"/>
      <c r="AD191" s="44"/>
      <c r="AE191" s="44"/>
      <c r="AF191" s="44"/>
      <c r="AG191" s="44"/>
      <c r="AH191" s="44"/>
      <c r="AI191" s="44"/>
      <c r="AJ191" s="44"/>
      <c r="AK191" s="44"/>
      <c r="AL191" s="44"/>
      <c r="AM191" s="44"/>
      <c r="AN191" s="44"/>
      <c r="AO191" s="44"/>
      <c r="AP191" s="44"/>
      <c r="AQ191" s="44"/>
      <c r="AR191" s="44"/>
      <c r="AS191" s="44"/>
      <c r="AT191" s="44"/>
      <c r="AU191" s="44"/>
      <c r="AV191" s="45"/>
      <c r="AW191" s="46"/>
      <c r="AX191" s="46"/>
      <c r="AY191" s="46"/>
      <c r="AZ191" s="46"/>
      <c r="BA191" s="46"/>
      <c r="BB191" s="46"/>
      <c r="BC191" s="46"/>
    </row>
    <row r="192" ht="15.75" customHeight="1">
      <c r="A192" s="46"/>
      <c r="B192" s="59"/>
      <c r="C192" s="59"/>
      <c r="D192" s="59"/>
      <c r="E192" s="59"/>
      <c r="F192" s="59"/>
      <c r="G192" s="59"/>
      <c r="H192" s="59"/>
      <c r="I192" s="59"/>
      <c r="J192" s="59"/>
      <c r="K192" s="59"/>
      <c r="L192" s="59"/>
      <c r="M192" s="59"/>
      <c r="N192" s="59"/>
      <c r="O192" s="59"/>
      <c r="P192" s="59"/>
      <c r="Q192" s="59"/>
      <c r="R192" s="59"/>
      <c r="S192" s="59"/>
      <c r="T192" s="59"/>
      <c r="U192" s="59"/>
      <c r="V192" s="59"/>
      <c r="W192" s="59"/>
      <c r="X192" s="45"/>
      <c r="Y192" s="45"/>
      <c r="Z192" s="45"/>
      <c r="AA192" s="45"/>
      <c r="AB192" s="45"/>
      <c r="AC192" s="45"/>
      <c r="AD192" s="44"/>
      <c r="AE192" s="44"/>
      <c r="AF192" s="44"/>
      <c r="AG192" s="44"/>
      <c r="AH192" s="44"/>
      <c r="AI192" s="44"/>
      <c r="AJ192" s="44"/>
      <c r="AK192" s="44"/>
      <c r="AL192" s="44"/>
      <c r="AM192" s="44"/>
      <c r="AN192" s="44"/>
      <c r="AO192" s="44"/>
      <c r="AP192" s="44"/>
      <c r="AQ192" s="44"/>
      <c r="AR192" s="44"/>
      <c r="AS192" s="44"/>
      <c r="AT192" s="44"/>
      <c r="AU192" s="44"/>
      <c r="AV192" s="45"/>
      <c r="AW192" s="46"/>
      <c r="AX192" s="46"/>
      <c r="AY192" s="46"/>
      <c r="AZ192" s="46"/>
      <c r="BA192" s="46"/>
      <c r="BB192" s="46"/>
      <c r="BC192" s="46"/>
    </row>
    <row r="193" ht="15.75" customHeight="1">
      <c r="A193" s="46"/>
      <c r="B193" s="59"/>
      <c r="C193" s="59"/>
      <c r="D193" s="59"/>
      <c r="E193" s="59"/>
      <c r="F193" s="59"/>
      <c r="G193" s="59"/>
      <c r="H193" s="59"/>
      <c r="I193" s="59"/>
      <c r="J193" s="59"/>
      <c r="K193" s="59"/>
      <c r="L193" s="59"/>
      <c r="M193" s="59"/>
      <c r="N193" s="59"/>
      <c r="O193" s="59"/>
      <c r="P193" s="59"/>
      <c r="Q193" s="59"/>
      <c r="R193" s="59"/>
      <c r="S193" s="59"/>
      <c r="T193" s="59"/>
      <c r="U193" s="59"/>
      <c r="V193" s="59"/>
      <c r="W193" s="59"/>
      <c r="X193" s="45"/>
      <c r="Y193" s="45"/>
      <c r="Z193" s="45"/>
      <c r="AA193" s="45"/>
      <c r="AB193" s="45"/>
      <c r="AC193" s="45"/>
      <c r="AD193" s="44"/>
      <c r="AE193" s="44"/>
      <c r="AF193" s="44"/>
      <c r="AG193" s="44"/>
      <c r="AH193" s="44"/>
      <c r="AI193" s="44"/>
      <c r="AJ193" s="44"/>
      <c r="AK193" s="44"/>
      <c r="AL193" s="44"/>
      <c r="AM193" s="44"/>
      <c r="AN193" s="44"/>
      <c r="AO193" s="44"/>
      <c r="AP193" s="44"/>
      <c r="AQ193" s="44"/>
      <c r="AR193" s="44"/>
      <c r="AS193" s="44"/>
      <c r="AT193" s="44"/>
      <c r="AU193" s="44"/>
      <c r="AV193" s="45"/>
      <c r="AW193" s="46"/>
      <c r="AX193" s="46"/>
      <c r="AY193" s="46"/>
      <c r="AZ193" s="46"/>
      <c r="BA193" s="46"/>
      <c r="BB193" s="46"/>
      <c r="BC193" s="46"/>
    </row>
    <row r="194" ht="15.75" customHeight="1">
      <c r="A194" s="46"/>
      <c r="B194" s="59"/>
      <c r="C194" s="59"/>
      <c r="D194" s="59"/>
      <c r="E194" s="59"/>
      <c r="F194" s="59"/>
      <c r="G194" s="59"/>
      <c r="H194" s="59"/>
      <c r="I194" s="59"/>
      <c r="J194" s="59"/>
      <c r="K194" s="59"/>
      <c r="L194" s="59"/>
      <c r="M194" s="59"/>
      <c r="N194" s="59"/>
      <c r="O194" s="59"/>
      <c r="P194" s="59"/>
      <c r="Q194" s="59"/>
      <c r="R194" s="59"/>
      <c r="S194" s="59"/>
      <c r="T194" s="59"/>
      <c r="U194" s="59"/>
      <c r="V194" s="59"/>
      <c r="W194" s="59"/>
      <c r="X194" s="45"/>
      <c r="Y194" s="45"/>
      <c r="Z194" s="45"/>
      <c r="AA194" s="45"/>
      <c r="AB194" s="45"/>
      <c r="AC194" s="45"/>
      <c r="AD194" s="44"/>
      <c r="AE194" s="44"/>
      <c r="AF194" s="44"/>
      <c r="AG194" s="44"/>
      <c r="AH194" s="44"/>
      <c r="AI194" s="44"/>
      <c r="AJ194" s="44"/>
      <c r="AK194" s="44"/>
      <c r="AL194" s="44"/>
      <c r="AM194" s="44"/>
      <c r="AN194" s="44"/>
      <c r="AO194" s="44"/>
      <c r="AP194" s="44"/>
      <c r="AQ194" s="44"/>
      <c r="AR194" s="44"/>
      <c r="AS194" s="44"/>
      <c r="AT194" s="44"/>
      <c r="AU194" s="44"/>
      <c r="AV194" s="45"/>
      <c r="AW194" s="46"/>
      <c r="AX194" s="46"/>
      <c r="AY194" s="46"/>
      <c r="AZ194" s="46"/>
      <c r="BA194" s="46"/>
      <c r="BB194" s="46"/>
      <c r="BC194" s="46"/>
    </row>
    <row r="195" ht="15.75" customHeight="1">
      <c r="A195" s="46"/>
      <c r="B195" s="59"/>
      <c r="C195" s="59"/>
      <c r="D195" s="59"/>
      <c r="E195" s="59"/>
      <c r="F195" s="59"/>
      <c r="G195" s="59"/>
      <c r="H195" s="59"/>
      <c r="I195" s="59"/>
      <c r="J195" s="59"/>
      <c r="K195" s="59"/>
      <c r="L195" s="59"/>
      <c r="M195" s="59"/>
      <c r="N195" s="59"/>
      <c r="O195" s="59"/>
      <c r="P195" s="59"/>
      <c r="Q195" s="59"/>
      <c r="R195" s="59"/>
      <c r="S195" s="59"/>
      <c r="T195" s="59"/>
      <c r="U195" s="59"/>
      <c r="V195" s="59"/>
      <c r="W195" s="59"/>
      <c r="X195" s="45"/>
      <c r="Y195" s="45"/>
      <c r="Z195" s="45"/>
      <c r="AA195" s="45"/>
      <c r="AB195" s="45"/>
      <c r="AC195" s="45"/>
      <c r="AD195" s="44"/>
      <c r="AE195" s="44"/>
      <c r="AF195" s="44"/>
      <c r="AG195" s="44"/>
      <c r="AH195" s="44"/>
      <c r="AI195" s="44"/>
      <c r="AJ195" s="44"/>
      <c r="AK195" s="44"/>
      <c r="AL195" s="44"/>
      <c r="AM195" s="44"/>
      <c r="AN195" s="44"/>
      <c r="AO195" s="44"/>
      <c r="AP195" s="44"/>
      <c r="AQ195" s="44"/>
      <c r="AR195" s="44"/>
      <c r="AS195" s="44"/>
      <c r="AT195" s="44"/>
      <c r="AU195" s="44"/>
      <c r="AV195" s="45"/>
      <c r="AW195" s="46"/>
      <c r="AX195" s="46"/>
      <c r="AY195" s="46"/>
      <c r="AZ195" s="46"/>
      <c r="BA195" s="46"/>
      <c r="BB195" s="46"/>
      <c r="BC195" s="46"/>
    </row>
    <row r="196" ht="15.75" customHeight="1">
      <c r="A196" s="46"/>
      <c r="B196" s="59"/>
      <c r="C196" s="59"/>
      <c r="D196" s="59"/>
      <c r="E196" s="59"/>
      <c r="F196" s="59"/>
      <c r="G196" s="59"/>
      <c r="H196" s="59"/>
      <c r="I196" s="59"/>
      <c r="J196" s="59"/>
      <c r="K196" s="59"/>
      <c r="L196" s="59"/>
      <c r="M196" s="59"/>
      <c r="N196" s="59"/>
      <c r="O196" s="59"/>
      <c r="P196" s="59"/>
      <c r="Q196" s="59"/>
      <c r="R196" s="59"/>
      <c r="S196" s="59"/>
      <c r="T196" s="59"/>
      <c r="U196" s="59"/>
      <c r="V196" s="59"/>
      <c r="W196" s="59"/>
      <c r="X196" s="45"/>
      <c r="Y196" s="45"/>
      <c r="Z196" s="45"/>
      <c r="AA196" s="45"/>
      <c r="AB196" s="45"/>
      <c r="AC196" s="45"/>
      <c r="AD196" s="44"/>
      <c r="AE196" s="44"/>
      <c r="AF196" s="44"/>
      <c r="AG196" s="44"/>
      <c r="AH196" s="44"/>
      <c r="AI196" s="44"/>
      <c r="AJ196" s="44"/>
      <c r="AK196" s="44"/>
      <c r="AL196" s="44"/>
      <c r="AM196" s="44"/>
      <c r="AN196" s="44"/>
      <c r="AO196" s="44"/>
      <c r="AP196" s="44"/>
      <c r="AQ196" s="44"/>
      <c r="AR196" s="44"/>
      <c r="AS196" s="44"/>
      <c r="AT196" s="44"/>
      <c r="AU196" s="44"/>
      <c r="AV196" s="45"/>
      <c r="AW196" s="46"/>
      <c r="AX196" s="46"/>
      <c r="AY196" s="46"/>
      <c r="AZ196" s="46"/>
      <c r="BA196" s="46"/>
      <c r="BB196" s="46"/>
      <c r="BC196" s="46"/>
    </row>
    <row r="197" ht="15.75" customHeight="1">
      <c r="A197" s="46"/>
      <c r="B197" s="59"/>
      <c r="C197" s="59"/>
      <c r="D197" s="59"/>
      <c r="E197" s="59"/>
      <c r="F197" s="59"/>
      <c r="G197" s="59"/>
      <c r="H197" s="59"/>
      <c r="I197" s="59"/>
      <c r="J197" s="59"/>
      <c r="K197" s="59"/>
      <c r="L197" s="59"/>
      <c r="M197" s="59"/>
      <c r="N197" s="59"/>
      <c r="O197" s="59"/>
      <c r="P197" s="59"/>
      <c r="Q197" s="59"/>
      <c r="R197" s="59"/>
      <c r="S197" s="59"/>
      <c r="T197" s="59"/>
      <c r="U197" s="59"/>
      <c r="V197" s="59"/>
      <c r="W197" s="59"/>
      <c r="X197" s="45"/>
      <c r="Y197" s="45"/>
      <c r="Z197" s="45"/>
      <c r="AA197" s="45"/>
      <c r="AB197" s="45"/>
      <c r="AC197" s="45"/>
      <c r="AD197" s="44"/>
      <c r="AE197" s="44"/>
      <c r="AF197" s="44"/>
      <c r="AG197" s="44"/>
      <c r="AH197" s="44"/>
      <c r="AI197" s="44"/>
      <c r="AJ197" s="44"/>
      <c r="AK197" s="44"/>
      <c r="AL197" s="44"/>
      <c r="AM197" s="44"/>
      <c r="AN197" s="44"/>
      <c r="AO197" s="44"/>
      <c r="AP197" s="44"/>
      <c r="AQ197" s="44"/>
      <c r="AR197" s="44"/>
      <c r="AS197" s="44"/>
      <c r="AT197" s="44"/>
      <c r="AU197" s="44"/>
      <c r="AV197" s="45"/>
      <c r="AW197" s="46"/>
      <c r="AX197" s="46"/>
      <c r="AY197" s="46"/>
      <c r="AZ197" s="46"/>
      <c r="BA197" s="46"/>
      <c r="BB197" s="46"/>
      <c r="BC197" s="46"/>
    </row>
    <row r="198" ht="15.75" customHeight="1">
      <c r="A198" s="46"/>
      <c r="B198" s="59"/>
      <c r="C198" s="59"/>
      <c r="D198" s="59"/>
      <c r="E198" s="59"/>
      <c r="F198" s="59"/>
      <c r="G198" s="59"/>
      <c r="H198" s="59"/>
      <c r="I198" s="59"/>
      <c r="J198" s="59"/>
      <c r="K198" s="59"/>
      <c r="L198" s="59"/>
      <c r="M198" s="59"/>
      <c r="N198" s="59"/>
      <c r="O198" s="59"/>
      <c r="P198" s="59"/>
      <c r="Q198" s="59"/>
      <c r="R198" s="59"/>
      <c r="S198" s="59"/>
      <c r="T198" s="59"/>
      <c r="U198" s="59"/>
      <c r="V198" s="59"/>
      <c r="W198" s="59"/>
      <c r="X198" s="45"/>
      <c r="Y198" s="45"/>
      <c r="Z198" s="45"/>
      <c r="AA198" s="45"/>
      <c r="AB198" s="45"/>
      <c r="AC198" s="45"/>
      <c r="AD198" s="44"/>
      <c r="AE198" s="44"/>
      <c r="AF198" s="44"/>
      <c r="AG198" s="44"/>
      <c r="AH198" s="44"/>
      <c r="AI198" s="44"/>
      <c r="AJ198" s="44"/>
      <c r="AK198" s="44"/>
      <c r="AL198" s="44"/>
      <c r="AM198" s="44"/>
      <c r="AN198" s="44"/>
      <c r="AO198" s="44"/>
      <c r="AP198" s="44"/>
      <c r="AQ198" s="44"/>
      <c r="AR198" s="44"/>
      <c r="AS198" s="44"/>
      <c r="AT198" s="44"/>
      <c r="AU198" s="44"/>
      <c r="AV198" s="45"/>
      <c r="AW198" s="46"/>
      <c r="AX198" s="46"/>
      <c r="AY198" s="46"/>
      <c r="AZ198" s="46"/>
      <c r="BA198" s="46"/>
      <c r="BB198" s="46"/>
      <c r="BC198" s="46"/>
    </row>
    <row r="199" ht="15.75" customHeight="1">
      <c r="A199" s="46"/>
      <c r="B199" s="59"/>
      <c r="C199" s="59"/>
      <c r="D199" s="59"/>
      <c r="E199" s="59"/>
      <c r="F199" s="59"/>
      <c r="G199" s="59"/>
      <c r="H199" s="59"/>
      <c r="I199" s="59"/>
      <c r="J199" s="59"/>
      <c r="K199" s="59"/>
      <c r="L199" s="59"/>
      <c r="M199" s="59"/>
      <c r="N199" s="59"/>
      <c r="O199" s="59"/>
      <c r="P199" s="59"/>
      <c r="Q199" s="59"/>
      <c r="R199" s="59"/>
      <c r="S199" s="59"/>
      <c r="T199" s="59"/>
      <c r="U199" s="59"/>
      <c r="V199" s="59"/>
      <c r="W199" s="59"/>
      <c r="X199" s="45"/>
      <c r="Y199" s="45"/>
      <c r="Z199" s="45"/>
      <c r="AA199" s="45"/>
      <c r="AB199" s="45"/>
      <c r="AC199" s="45"/>
      <c r="AD199" s="44"/>
      <c r="AE199" s="44"/>
      <c r="AF199" s="44"/>
      <c r="AG199" s="44"/>
      <c r="AH199" s="44"/>
      <c r="AI199" s="44"/>
      <c r="AJ199" s="44"/>
      <c r="AK199" s="44"/>
      <c r="AL199" s="44"/>
      <c r="AM199" s="44"/>
      <c r="AN199" s="44"/>
      <c r="AO199" s="44"/>
      <c r="AP199" s="44"/>
      <c r="AQ199" s="44"/>
      <c r="AR199" s="44"/>
      <c r="AS199" s="44"/>
      <c r="AT199" s="44"/>
      <c r="AU199" s="44"/>
      <c r="AV199" s="45"/>
      <c r="AW199" s="46"/>
      <c r="AX199" s="46"/>
      <c r="AY199" s="46"/>
      <c r="AZ199" s="46"/>
      <c r="BA199" s="46"/>
      <c r="BB199" s="46"/>
      <c r="BC199" s="46"/>
    </row>
    <row r="200" ht="15.75" customHeight="1">
      <c r="A200" s="46"/>
      <c r="B200" s="59"/>
      <c r="C200" s="59"/>
      <c r="D200" s="59"/>
      <c r="E200" s="59"/>
      <c r="F200" s="59"/>
      <c r="G200" s="59"/>
      <c r="H200" s="59"/>
      <c r="I200" s="59"/>
      <c r="J200" s="59"/>
      <c r="K200" s="59"/>
      <c r="L200" s="59"/>
      <c r="M200" s="59"/>
      <c r="N200" s="59"/>
      <c r="O200" s="59"/>
      <c r="P200" s="59"/>
      <c r="Q200" s="59"/>
      <c r="R200" s="59"/>
      <c r="S200" s="59"/>
      <c r="T200" s="59"/>
      <c r="U200" s="59"/>
      <c r="V200" s="59"/>
      <c r="W200" s="59"/>
      <c r="X200" s="45"/>
      <c r="Y200" s="45"/>
      <c r="Z200" s="45"/>
      <c r="AA200" s="45"/>
      <c r="AB200" s="45"/>
      <c r="AC200" s="45"/>
      <c r="AD200" s="44"/>
      <c r="AE200" s="44"/>
      <c r="AF200" s="44"/>
      <c r="AG200" s="44"/>
      <c r="AH200" s="44"/>
      <c r="AI200" s="44"/>
      <c r="AJ200" s="44"/>
      <c r="AK200" s="44"/>
      <c r="AL200" s="44"/>
      <c r="AM200" s="44"/>
      <c r="AN200" s="44"/>
      <c r="AO200" s="44"/>
      <c r="AP200" s="44"/>
      <c r="AQ200" s="44"/>
      <c r="AR200" s="44"/>
      <c r="AS200" s="44"/>
      <c r="AT200" s="44"/>
      <c r="AU200" s="44"/>
      <c r="AV200" s="45"/>
      <c r="AW200" s="46"/>
      <c r="AX200" s="46"/>
      <c r="AY200" s="46"/>
      <c r="AZ200" s="46"/>
      <c r="BA200" s="46"/>
      <c r="BB200" s="46"/>
      <c r="BC200" s="46"/>
    </row>
    <row r="201" ht="15.75" customHeight="1">
      <c r="A201" s="46"/>
      <c r="B201" s="59"/>
      <c r="C201" s="59"/>
      <c r="D201" s="59"/>
      <c r="E201" s="59"/>
      <c r="F201" s="59"/>
      <c r="G201" s="59"/>
      <c r="H201" s="59"/>
      <c r="I201" s="59"/>
      <c r="J201" s="59"/>
      <c r="K201" s="59"/>
      <c r="L201" s="59"/>
      <c r="M201" s="59"/>
      <c r="N201" s="59"/>
      <c r="O201" s="59"/>
      <c r="P201" s="59"/>
      <c r="Q201" s="59"/>
      <c r="R201" s="59"/>
      <c r="S201" s="59"/>
      <c r="T201" s="59"/>
      <c r="U201" s="59"/>
      <c r="V201" s="59"/>
      <c r="W201" s="59"/>
      <c r="X201" s="45"/>
      <c r="Y201" s="45"/>
      <c r="Z201" s="45"/>
      <c r="AA201" s="45"/>
      <c r="AB201" s="45"/>
      <c r="AC201" s="45"/>
      <c r="AD201" s="44"/>
      <c r="AE201" s="44"/>
      <c r="AF201" s="44"/>
      <c r="AG201" s="44"/>
      <c r="AH201" s="44"/>
      <c r="AI201" s="44"/>
      <c r="AJ201" s="44"/>
      <c r="AK201" s="44"/>
      <c r="AL201" s="44"/>
      <c r="AM201" s="44"/>
      <c r="AN201" s="44"/>
      <c r="AO201" s="44"/>
      <c r="AP201" s="44"/>
      <c r="AQ201" s="44"/>
      <c r="AR201" s="44"/>
      <c r="AS201" s="44"/>
      <c r="AT201" s="44"/>
      <c r="AU201" s="44"/>
      <c r="AV201" s="45"/>
      <c r="AW201" s="46"/>
      <c r="AX201" s="46"/>
      <c r="AY201" s="46"/>
      <c r="AZ201" s="46"/>
      <c r="BA201" s="46"/>
      <c r="BB201" s="46"/>
      <c r="BC201" s="46"/>
    </row>
    <row r="202" ht="15.75" customHeight="1">
      <c r="A202" s="46"/>
      <c r="B202" s="59"/>
      <c r="C202" s="59"/>
      <c r="D202" s="59"/>
      <c r="E202" s="59"/>
      <c r="F202" s="59"/>
      <c r="G202" s="59"/>
      <c r="H202" s="59"/>
      <c r="I202" s="59"/>
      <c r="J202" s="59"/>
      <c r="K202" s="59"/>
      <c r="L202" s="59"/>
      <c r="M202" s="59"/>
      <c r="N202" s="59"/>
      <c r="O202" s="59"/>
      <c r="P202" s="59"/>
      <c r="Q202" s="59"/>
      <c r="R202" s="59"/>
      <c r="S202" s="59"/>
      <c r="T202" s="59"/>
      <c r="U202" s="59"/>
      <c r="V202" s="59"/>
      <c r="W202" s="59"/>
      <c r="X202" s="45"/>
      <c r="Y202" s="45"/>
      <c r="Z202" s="45"/>
      <c r="AA202" s="45"/>
      <c r="AB202" s="45"/>
      <c r="AC202" s="45"/>
      <c r="AD202" s="44"/>
      <c r="AE202" s="44"/>
      <c r="AF202" s="44"/>
      <c r="AG202" s="44"/>
      <c r="AH202" s="44"/>
      <c r="AI202" s="44"/>
      <c r="AJ202" s="44"/>
      <c r="AK202" s="44"/>
      <c r="AL202" s="44"/>
      <c r="AM202" s="44"/>
      <c r="AN202" s="44"/>
      <c r="AO202" s="44"/>
      <c r="AP202" s="44"/>
      <c r="AQ202" s="44"/>
      <c r="AR202" s="44"/>
      <c r="AS202" s="44"/>
      <c r="AT202" s="44"/>
      <c r="AU202" s="44"/>
      <c r="AV202" s="45"/>
      <c r="AW202" s="46"/>
      <c r="AX202" s="46"/>
      <c r="AY202" s="46"/>
      <c r="AZ202" s="46"/>
      <c r="BA202" s="46"/>
      <c r="BB202" s="46"/>
      <c r="BC202" s="46"/>
    </row>
    <row r="203" ht="15.75" customHeight="1">
      <c r="A203" s="46"/>
      <c r="B203" s="59"/>
      <c r="C203" s="59"/>
      <c r="D203" s="59"/>
      <c r="E203" s="59"/>
      <c r="F203" s="59"/>
      <c r="G203" s="59"/>
      <c r="H203" s="59"/>
      <c r="I203" s="59"/>
      <c r="J203" s="59"/>
      <c r="K203" s="59"/>
      <c r="L203" s="59"/>
      <c r="M203" s="59"/>
      <c r="N203" s="59"/>
      <c r="O203" s="59"/>
      <c r="P203" s="59"/>
      <c r="Q203" s="59"/>
      <c r="R203" s="59"/>
      <c r="S203" s="59"/>
      <c r="T203" s="59"/>
      <c r="U203" s="59"/>
      <c r="V203" s="59"/>
      <c r="W203" s="59"/>
      <c r="X203" s="45"/>
      <c r="Y203" s="45"/>
      <c r="Z203" s="45"/>
      <c r="AA203" s="45"/>
      <c r="AB203" s="45"/>
      <c r="AC203" s="45"/>
      <c r="AD203" s="44"/>
      <c r="AE203" s="44"/>
      <c r="AF203" s="44"/>
      <c r="AG203" s="44"/>
      <c r="AH203" s="44"/>
      <c r="AI203" s="44"/>
      <c r="AJ203" s="44"/>
      <c r="AK203" s="44"/>
      <c r="AL203" s="44"/>
      <c r="AM203" s="44"/>
      <c r="AN203" s="44"/>
      <c r="AO203" s="44"/>
      <c r="AP203" s="44"/>
      <c r="AQ203" s="44"/>
      <c r="AR203" s="44"/>
      <c r="AS203" s="44"/>
      <c r="AT203" s="44"/>
      <c r="AU203" s="44"/>
      <c r="AV203" s="45"/>
      <c r="AW203" s="46"/>
      <c r="AX203" s="46"/>
      <c r="AY203" s="46"/>
      <c r="AZ203" s="46"/>
      <c r="BA203" s="46"/>
      <c r="BB203" s="46"/>
      <c r="BC203" s="46"/>
    </row>
    <row r="204" ht="15.75" customHeight="1">
      <c r="A204" s="46"/>
      <c r="B204" s="59"/>
      <c r="C204" s="59"/>
      <c r="D204" s="59"/>
      <c r="E204" s="59"/>
      <c r="F204" s="59"/>
      <c r="G204" s="59"/>
      <c r="H204" s="59"/>
      <c r="I204" s="59"/>
      <c r="J204" s="59"/>
      <c r="K204" s="59"/>
      <c r="L204" s="59"/>
      <c r="M204" s="59"/>
      <c r="N204" s="59"/>
      <c r="O204" s="59"/>
      <c r="P204" s="59"/>
      <c r="Q204" s="59"/>
      <c r="R204" s="59"/>
      <c r="S204" s="59"/>
      <c r="T204" s="59"/>
      <c r="U204" s="59"/>
      <c r="V204" s="59"/>
      <c r="W204" s="59"/>
      <c r="X204" s="45"/>
      <c r="Y204" s="45"/>
      <c r="Z204" s="45"/>
      <c r="AA204" s="45"/>
      <c r="AB204" s="45"/>
      <c r="AC204" s="45"/>
      <c r="AD204" s="44"/>
      <c r="AE204" s="44"/>
      <c r="AF204" s="44"/>
      <c r="AG204" s="44"/>
      <c r="AH204" s="44"/>
      <c r="AI204" s="44"/>
      <c r="AJ204" s="44"/>
      <c r="AK204" s="44"/>
      <c r="AL204" s="44"/>
      <c r="AM204" s="44"/>
      <c r="AN204" s="44"/>
      <c r="AO204" s="44"/>
      <c r="AP204" s="44"/>
      <c r="AQ204" s="44"/>
      <c r="AR204" s="44"/>
      <c r="AS204" s="44"/>
      <c r="AT204" s="44"/>
      <c r="AU204" s="44"/>
      <c r="AV204" s="45"/>
      <c r="AW204" s="46"/>
      <c r="AX204" s="46"/>
      <c r="AY204" s="46"/>
      <c r="AZ204" s="46"/>
      <c r="BA204" s="46"/>
      <c r="BB204" s="46"/>
      <c r="BC204" s="46"/>
    </row>
    <row r="205" ht="15.75" customHeight="1">
      <c r="A205" s="46"/>
      <c r="B205" s="59"/>
      <c r="C205" s="59"/>
      <c r="D205" s="59"/>
      <c r="E205" s="59"/>
      <c r="F205" s="59"/>
      <c r="G205" s="59"/>
      <c r="H205" s="59"/>
      <c r="I205" s="59"/>
      <c r="J205" s="59"/>
      <c r="K205" s="59"/>
      <c r="L205" s="59"/>
      <c r="M205" s="59"/>
      <c r="N205" s="59"/>
      <c r="O205" s="59"/>
      <c r="P205" s="59"/>
      <c r="Q205" s="59"/>
      <c r="R205" s="59"/>
      <c r="S205" s="59"/>
      <c r="T205" s="59"/>
      <c r="U205" s="59"/>
      <c r="V205" s="59"/>
      <c r="W205" s="59"/>
      <c r="X205" s="45"/>
      <c r="Y205" s="45"/>
      <c r="Z205" s="45"/>
      <c r="AA205" s="45"/>
      <c r="AB205" s="45"/>
      <c r="AC205" s="45"/>
      <c r="AD205" s="44"/>
      <c r="AE205" s="44"/>
      <c r="AF205" s="44"/>
      <c r="AG205" s="44"/>
      <c r="AH205" s="44"/>
      <c r="AI205" s="44"/>
      <c r="AJ205" s="44"/>
      <c r="AK205" s="44"/>
      <c r="AL205" s="44"/>
      <c r="AM205" s="44"/>
      <c r="AN205" s="44"/>
      <c r="AO205" s="44"/>
      <c r="AP205" s="44"/>
      <c r="AQ205" s="44"/>
      <c r="AR205" s="44"/>
      <c r="AS205" s="44"/>
      <c r="AT205" s="44"/>
      <c r="AU205" s="44"/>
      <c r="AV205" s="45"/>
      <c r="AW205" s="46"/>
      <c r="AX205" s="46"/>
      <c r="AY205" s="46"/>
      <c r="AZ205" s="46"/>
      <c r="BA205" s="46"/>
      <c r="BB205" s="46"/>
      <c r="BC205" s="46"/>
    </row>
    <row r="206" ht="15.75" customHeight="1">
      <c r="A206" s="46"/>
      <c r="B206" s="59"/>
      <c r="C206" s="59"/>
      <c r="D206" s="59"/>
      <c r="E206" s="59"/>
      <c r="F206" s="59"/>
      <c r="G206" s="59"/>
      <c r="H206" s="59"/>
      <c r="I206" s="59"/>
      <c r="J206" s="59"/>
      <c r="K206" s="59"/>
      <c r="L206" s="59"/>
      <c r="M206" s="59"/>
      <c r="N206" s="59"/>
      <c r="O206" s="59"/>
      <c r="P206" s="59"/>
      <c r="Q206" s="59"/>
      <c r="R206" s="59"/>
      <c r="S206" s="59"/>
      <c r="T206" s="59"/>
      <c r="U206" s="59"/>
      <c r="V206" s="59"/>
      <c r="W206" s="59"/>
      <c r="X206" s="45"/>
      <c r="Y206" s="45"/>
      <c r="Z206" s="45"/>
      <c r="AA206" s="45"/>
      <c r="AB206" s="45"/>
      <c r="AC206" s="45"/>
      <c r="AD206" s="44"/>
      <c r="AE206" s="44"/>
      <c r="AF206" s="44"/>
      <c r="AG206" s="44"/>
      <c r="AH206" s="44"/>
      <c r="AI206" s="44"/>
      <c r="AJ206" s="44"/>
      <c r="AK206" s="44"/>
      <c r="AL206" s="44"/>
      <c r="AM206" s="44"/>
      <c r="AN206" s="44"/>
      <c r="AO206" s="44"/>
      <c r="AP206" s="44"/>
      <c r="AQ206" s="44"/>
      <c r="AR206" s="44"/>
      <c r="AS206" s="44"/>
      <c r="AT206" s="44"/>
      <c r="AU206" s="44"/>
      <c r="AV206" s="45"/>
      <c r="AW206" s="46"/>
      <c r="AX206" s="46"/>
      <c r="AY206" s="46"/>
      <c r="AZ206" s="46"/>
      <c r="BA206" s="46"/>
      <c r="BB206" s="46"/>
      <c r="BC206" s="46"/>
    </row>
    <row r="207" ht="15.75" customHeight="1">
      <c r="A207" s="46"/>
      <c r="B207" s="59"/>
      <c r="C207" s="59"/>
      <c r="D207" s="59"/>
      <c r="E207" s="59"/>
      <c r="F207" s="59"/>
      <c r="G207" s="59"/>
      <c r="H207" s="59"/>
      <c r="I207" s="59"/>
      <c r="J207" s="59"/>
      <c r="K207" s="59"/>
      <c r="L207" s="59"/>
      <c r="M207" s="59"/>
      <c r="N207" s="59"/>
      <c r="O207" s="59"/>
      <c r="P207" s="59"/>
      <c r="Q207" s="59"/>
      <c r="R207" s="59"/>
      <c r="S207" s="59"/>
      <c r="T207" s="59"/>
      <c r="U207" s="59"/>
      <c r="V207" s="59"/>
      <c r="W207" s="59"/>
      <c r="X207" s="45"/>
      <c r="Y207" s="45"/>
      <c r="Z207" s="45"/>
      <c r="AA207" s="45"/>
      <c r="AB207" s="45"/>
      <c r="AC207" s="45"/>
      <c r="AD207" s="44"/>
      <c r="AE207" s="44"/>
      <c r="AF207" s="44"/>
      <c r="AG207" s="44"/>
      <c r="AH207" s="44"/>
      <c r="AI207" s="44"/>
      <c r="AJ207" s="44"/>
      <c r="AK207" s="44"/>
      <c r="AL207" s="44"/>
      <c r="AM207" s="44"/>
      <c r="AN207" s="44"/>
      <c r="AO207" s="44"/>
      <c r="AP207" s="44"/>
      <c r="AQ207" s="44"/>
      <c r="AR207" s="44"/>
      <c r="AS207" s="44"/>
      <c r="AT207" s="44"/>
      <c r="AU207" s="44"/>
      <c r="AV207" s="45"/>
      <c r="AW207" s="46"/>
      <c r="AX207" s="46"/>
      <c r="AY207" s="46"/>
      <c r="AZ207" s="46"/>
      <c r="BA207" s="46"/>
      <c r="BB207" s="46"/>
      <c r="BC207" s="46"/>
    </row>
    <row r="208" ht="15.75" customHeight="1">
      <c r="A208" s="46"/>
      <c r="B208" s="59"/>
      <c r="C208" s="59"/>
      <c r="D208" s="59"/>
      <c r="E208" s="59"/>
      <c r="F208" s="59"/>
      <c r="G208" s="59"/>
      <c r="H208" s="59"/>
      <c r="I208" s="59"/>
      <c r="J208" s="59"/>
      <c r="K208" s="59"/>
      <c r="L208" s="59"/>
      <c r="M208" s="59"/>
      <c r="N208" s="59"/>
      <c r="O208" s="59"/>
      <c r="P208" s="59"/>
      <c r="Q208" s="59"/>
      <c r="R208" s="59"/>
      <c r="S208" s="59"/>
      <c r="T208" s="59"/>
      <c r="U208" s="59"/>
      <c r="V208" s="59"/>
      <c r="W208" s="59"/>
      <c r="X208" s="45"/>
      <c r="Y208" s="45"/>
      <c r="Z208" s="45"/>
      <c r="AA208" s="45"/>
      <c r="AB208" s="45"/>
      <c r="AC208" s="45"/>
      <c r="AD208" s="44"/>
      <c r="AE208" s="44"/>
      <c r="AF208" s="44"/>
      <c r="AG208" s="44"/>
      <c r="AH208" s="44"/>
      <c r="AI208" s="44"/>
      <c r="AJ208" s="44"/>
      <c r="AK208" s="44"/>
      <c r="AL208" s="44"/>
      <c r="AM208" s="44"/>
      <c r="AN208" s="44"/>
      <c r="AO208" s="44"/>
      <c r="AP208" s="44"/>
      <c r="AQ208" s="44"/>
      <c r="AR208" s="44"/>
      <c r="AS208" s="44"/>
      <c r="AT208" s="44"/>
      <c r="AU208" s="44"/>
      <c r="AV208" s="45"/>
      <c r="AW208" s="46"/>
      <c r="AX208" s="46"/>
      <c r="AY208" s="46"/>
      <c r="AZ208" s="46"/>
      <c r="BA208" s="46"/>
      <c r="BB208" s="46"/>
      <c r="BC208" s="46"/>
    </row>
    <row r="209" ht="15.75" customHeight="1">
      <c r="A209" s="46"/>
      <c r="B209" s="59"/>
      <c r="C209" s="59"/>
      <c r="D209" s="59"/>
      <c r="E209" s="59"/>
      <c r="F209" s="59"/>
      <c r="G209" s="59"/>
      <c r="H209" s="59"/>
      <c r="I209" s="59"/>
      <c r="J209" s="59"/>
      <c r="K209" s="59"/>
      <c r="L209" s="59"/>
      <c r="M209" s="59"/>
      <c r="N209" s="59"/>
      <c r="O209" s="59"/>
      <c r="P209" s="59"/>
      <c r="Q209" s="59"/>
      <c r="R209" s="59"/>
      <c r="S209" s="59"/>
      <c r="T209" s="59"/>
      <c r="U209" s="59"/>
      <c r="V209" s="59"/>
      <c r="W209" s="59"/>
      <c r="X209" s="45"/>
      <c r="Y209" s="45"/>
      <c r="Z209" s="45"/>
      <c r="AA209" s="45"/>
      <c r="AB209" s="45"/>
      <c r="AC209" s="45"/>
      <c r="AD209" s="44"/>
      <c r="AE209" s="44"/>
      <c r="AF209" s="44"/>
      <c r="AG209" s="44"/>
      <c r="AH209" s="44"/>
      <c r="AI209" s="44"/>
      <c r="AJ209" s="44"/>
      <c r="AK209" s="44"/>
      <c r="AL209" s="44"/>
      <c r="AM209" s="44"/>
      <c r="AN209" s="44"/>
      <c r="AO209" s="44"/>
      <c r="AP209" s="44"/>
      <c r="AQ209" s="44"/>
      <c r="AR209" s="44"/>
      <c r="AS209" s="44"/>
      <c r="AT209" s="44"/>
      <c r="AU209" s="44"/>
      <c r="AV209" s="45"/>
      <c r="AW209" s="46"/>
      <c r="AX209" s="46"/>
      <c r="AY209" s="46"/>
      <c r="AZ209" s="46"/>
      <c r="BA209" s="46"/>
      <c r="BB209" s="46"/>
      <c r="BC209" s="46"/>
    </row>
    <row r="210" ht="15.75" customHeight="1">
      <c r="A210" s="46"/>
      <c r="B210" s="59"/>
      <c r="C210" s="59"/>
      <c r="D210" s="59"/>
      <c r="E210" s="59"/>
      <c r="F210" s="59"/>
      <c r="G210" s="59"/>
      <c r="H210" s="59"/>
      <c r="I210" s="59"/>
      <c r="J210" s="59"/>
      <c r="K210" s="59"/>
      <c r="L210" s="59"/>
      <c r="M210" s="59"/>
      <c r="N210" s="59"/>
      <c r="O210" s="59"/>
      <c r="P210" s="59"/>
      <c r="Q210" s="59"/>
      <c r="R210" s="59"/>
      <c r="S210" s="59"/>
      <c r="T210" s="59"/>
      <c r="U210" s="59"/>
      <c r="V210" s="59"/>
      <c r="W210" s="59"/>
      <c r="X210" s="45"/>
      <c r="Y210" s="45"/>
      <c r="Z210" s="45"/>
      <c r="AA210" s="45"/>
      <c r="AB210" s="45"/>
      <c r="AC210" s="45"/>
      <c r="AD210" s="44"/>
      <c r="AE210" s="44"/>
      <c r="AF210" s="44"/>
      <c r="AG210" s="44"/>
      <c r="AH210" s="44"/>
      <c r="AI210" s="44"/>
      <c r="AJ210" s="44"/>
      <c r="AK210" s="44"/>
      <c r="AL210" s="44"/>
      <c r="AM210" s="44"/>
      <c r="AN210" s="44"/>
      <c r="AO210" s="44"/>
      <c r="AP210" s="44"/>
      <c r="AQ210" s="44"/>
      <c r="AR210" s="44"/>
      <c r="AS210" s="44"/>
      <c r="AT210" s="44"/>
      <c r="AU210" s="44"/>
      <c r="AV210" s="45"/>
      <c r="AW210" s="46"/>
      <c r="AX210" s="46"/>
      <c r="AY210" s="46"/>
      <c r="AZ210" s="46"/>
      <c r="BA210" s="46"/>
      <c r="BB210" s="46"/>
      <c r="BC210" s="46"/>
    </row>
    <row r="211" ht="15.75" customHeight="1">
      <c r="A211" s="46"/>
      <c r="B211" s="59"/>
      <c r="C211" s="59"/>
      <c r="D211" s="59"/>
      <c r="E211" s="59"/>
      <c r="F211" s="59"/>
      <c r="G211" s="59"/>
      <c r="H211" s="59"/>
      <c r="I211" s="59"/>
      <c r="J211" s="59"/>
      <c r="K211" s="59"/>
      <c r="L211" s="59"/>
      <c r="M211" s="59"/>
      <c r="N211" s="59"/>
      <c r="O211" s="59"/>
      <c r="P211" s="59"/>
      <c r="Q211" s="59"/>
      <c r="R211" s="59"/>
      <c r="S211" s="59"/>
      <c r="T211" s="59"/>
      <c r="U211" s="59"/>
      <c r="V211" s="59"/>
      <c r="W211" s="59"/>
      <c r="X211" s="45"/>
      <c r="Y211" s="45"/>
      <c r="Z211" s="45"/>
      <c r="AA211" s="45"/>
      <c r="AB211" s="45"/>
      <c r="AC211" s="45"/>
      <c r="AD211" s="44"/>
      <c r="AE211" s="44"/>
      <c r="AF211" s="44"/>
      <c r="AG211" s="44"/>
      <c r="AH211" s="44"/>
      <c r="AI211" s="44"/>
      <c r="AJ211" s="44"/>
      <c r="AK211" s="44"/>
      <c r="AL211" s="44"/>
      <c r="AM211" s="44"/>
      <c r="AN211" s="44"/>
      <c r="AO211" s="44"/>
      <c r="AP211" s="44"/>
      <c r="AQ211" s="44"/>
      <c r="AR211" s="44"/>
      <c r="AS211" s="44"/>
      <c r="AT211" s="44"/>
      <c r="AU211" s="44"/>
      <c r="AV211" s="45"/>
      <c r="AW211" s="46"/>
      <c r="AX211" s="46"/>
      <c r="AY211" s="46"/>
      <c r="AZ211" s="46"/>
      <c r="BA211" s="46"/>
      <c r="BB211" s="46"/>
      <c r="BC211" s="46"/>
    </row>
    <row r="212" ht="15.75" customHeight="1">
      <c r="A212" s="46"/>
      <c r="B212" s="59"/>
      <c r="C212" s="59"/>
      <c r="D212" s="59"/>
      <c r="E212" s="59"/>
      <c r="F212" s="59"/>
      <c r="G212" s="59"/>
      <c r="H212" s="59"/>
      <c r="I212" s="59"/>
      <c r="J212" s="59"/>
      <c r="K212" s="59"/>
      <c r="L212" s="59"/>
      <c r="M212" s="59"/>
      <c r="N212" s="59"/>
      <c r="O212" s="59"/>
      <c r="P212" s="59"/>
      <c r="Q212" s="59"/>
      <c r="R212" s="59"/>
      <c r="S212" s="59"/>
      <c r="T212" s="59"/>
      <c r="U212" s="59"/>
      <c r="V212" s="59"/>
      <c r="W212" s="59"/>
      <c r="X212" s="45"/>
      <c r="Y212" s="45"/>
      <c r="Z212" s="45"/>
      <c r="AA212" s="45"/>
      <c r="AB212" s="45"/>
      <c r="AC212" s="45"/>
      <c r="AD212" s="44"/>
      <c r="AE212" s="44"/>
      <c r="AF212" s="44"/>
      <c r="AG212" s="44"/>
      <c r="AH212" s="44"/>
      <c r="AI212" s="44"/>
      <c r="AJ212" s="44"/>
      <c r="AK212" s="44"/>
      <c r="AL212" s="44"/>
      <c r="AM212" s="44"/>
      <c r="AN212" s="44"/>
      <c r="AO212" s="44"/>
      <c r="AP212" s="44"/>
      <c r="AQ212" s="44"/>
      <c r="AR212" s="44"/>
      <c r="AS212" s="44"/>
      <c r="AT212" s="44"/>
      <c r="AU212" s="44"/>
      <c r="AV212" s="45"/>
      <c r="AW212" s="46"/>
      <c r="AX212" s="46"/>
      <c r="AY212" s="46"/>
      <c r="AZ212" s="46"/>
      <c r="BA212" s="46"/>
      <c r="BB212" s="46"/>
      <c r="BC212" s="46"/>
    </row>
    <row r="213" ht="15.75" customHeight="1">
      <c r="A213" s="46"/>
      <c r="B213" s="59"/>
      <c r="C213" s="59"/>
      <c r="D213" s="59"/>
      <c r="E213" s="59"/>
      <c r="F213" s="59"/>
      <c r="G213" s="59"/>
      <c r="H213" s="59"/>
      <c r="I213" s="59"/>
      <c r="J213" s="59"/>
      <c r="K213" s="59"/>
      <c r="L213" s="59"/>
      <c r="M213" s="59"/>
      <c r="N213" s="59"/>
      <c r="O213" s="59"/>
      <c r="P213" s="59"/>
      <c r="Q213" s="59"/>
      <c r="R213" s="59"/>
      <c r="S213" s="59"/>
      <c r="T213" s="59"/>
      <c r="U213" s="59"/>
      <c r="V213" s="59"/>
      <c r="W213" s="59"/>
      <c r="X213" s="45"/>
      <c r="Y213" s="45"/>
      <c r="Z213" s="45"/>
      <c r="AA213" s="45"/>
      <c r="AB213" s="45"/>
      <c r="AC213" s="45"/>
      <c r="AD213" s="44"/>
      <c r="AE213" s="44"/>
      <c r="AF213" s="44"/>
      <c r="AG213" s="44"/>
      <c r="AH213" s="44"/>
      <c r="AI213" s="44"/>
      <c r="AJ213" s="44"/>
      <c r="AK213" s="44"/>
      <c r="AL213" s="44"/>
      <c r="AM213" s="44"/>
      <c r="AN213" s="44"/>
      <c r="AO213" s="44"/>
      <c r="AP213" s="44"/>
      <c r="AQ213" s="44"/>
      <c r="AR213" s="44"/>
      <c r="AS213" s="44"/>
      <c r="AT213" s="44"/>
      <c r="AU213" s="44"/>
      <c r="AV213" s="45"/>
      <c r="AW213" s="46"/>
      <c r="AX213" s="46"/>
      <c r="AY213" s="46"/>
      <c r="AZ213" s="46"/>
      <c r="BA213" s="46"/>
      <c r="BB213" s="46"/>
      <c r="BC213" s="46"/>
    </row>
    <row r="214" ht="15.75" customHeight="1">
      <c r="A214" s="46"/>
      <c r="B214" s="59"/>
      <c r="C214" s="59"/>
      <c r="D214" s="59"/>
      <c r="E214" s="59"/>
      <c r="F214" s="59"/>
      <c r="G214" s="59"/>
      <c r="H214" s="59"/>
      <c r="I214" s="59"/>
      <c r="J214" s="59"/>
      <c r="K214" s="59"/>
      <c r="L214" s="59"/>
      <c r="M214" s="59"/>
      <c r="N214" s="59"/>
      <c r="O214" s="59"/>
      <c r="P214" s="59"/>
      <c r="Q214" s="59"/>
      <c r="R214" s="59"/>
      <c r="S214" s="59"/>
      <c r="T214" s="59"/>
      <c r="U214" s="59"/>
      <c r="V214" s="59"/>
      <c r="W214" s="59"/>
      <c r="X214" s="45"/>
      <c r="Y214" s="45"/>
      <c r="Z214" s="45"/>
      <c r="AA214" s="45"/>
      <c r="AB214" s="45"/>
      <c r="AC214" s="45"/>
      <c r="AD214" s="44"/>
      <c r="AE214" s="44"/>
      <c r="AF214" s="44"/>
      <c r="AG214" s="44"/>
      <c r="AH214" s="44"/>
      <c r="AI214" s="44"/>
      <c r="AJ214" s="44"/>
      <c r="AK214" s="44"/>
      <c r="AL214" s="44"/>
      <c r="AM214" s="44"/>
      <c r="AN214" s="44"/>
      <c r="AO214" s="44"/>
      <c r="AP214" s="44"/>
      <c r="AQ214" s="44"/>
      <c r="AR214" s="44"/>
      <c r="AS214" s="44"/>
      <c r="AT214" s="44"/>
      <c r="AU214" s="44"/>
      <c r="AV214" s="45"/>
      <c r="AW214" s="46"/>
      <c r="AX214" s="46"/>
      <c r="AY214" s="46"/>
      <c r="AZ214" s="46"/>
      <c r="BA214" s="46"/>
      <c r="BB214" s="46"/>
      <c r="BC214" s="46"/>
    </row>
    <row r="215" ht="15.75" customHeight="1">
      <c r="A215" s="46"/>
      <c r="B215" s="59"/>
      <c r="C215" s="59"/>
      <c r="D215" s="59"/>
      <c r="E215" s="59"/>
      <c r="F215" s="59"/>
      <c r="G215" s="59"/>
      <c r="H215" s="59"/>
      <c r="I215" s="59"/>
      <c r="J215" s="59"/>
      <c r="K215" s="59"/>
      <c r="L215" s="59"/>
      <c r="M215" s="59"/>
      <c r="N215" s="59"/>
      <c r="O215" s="59"/>
      <c r="P215" s="59"/>
      <c r="Q215" s="59"/>
      <c r="R215" s="59"/>
      <c r="S215" s="59"/>
      <c r="T215" s="59"/>
      <c r="U215" s="59"/>
      <c r="V215" s="59"/>
      <c r="W215" s="59"/>
      <c r="X215" s="45"/>
      <c r="Y215" s="45"/>
      <c r="Z215" s="45"/>
      <c r="AA215" s="45"/>
      <c r="AB215" s="45"/>
      <c r="AC215" s="45"/>
      <c r="AD215" s="44"/>
      <c r="AE215" s="44"/>
      <c r="AF215" s="44"/>
      <c r="AG215" s="44"/>
      <c r="AH215" s="44"/>
      <c r="AI215" s="44"/>
      <c r="AJ215" s="44"/>
      <c r="AK215" s="44"/>
      <c r="AL215" s="44"/>
      <c r="AM215" s="44"/>
      <c r="AN215" s="44"/>
      <c r="AO215" s="44"/>
      <c r="AP215" s="44"/>
      <c r="AQ215" s="44"/>
      <c r="AR215" s="44"/>
      <c r="AS215" s="44"/>
      <c r="AT215" s="44"/>
      <c r="AU215" s="44"/>
      <c r="AV215" s="45"/>
      <c r="AW215" s="46"/>
      <c r="AX215" s="46"/>
      <c r="AY215" s="46"/>
      <c r="AZ215" s="46"/>
      <c r="BA215" s="46"/>
      <c r="BB215" s="46"/>
      <c r="BC215" s="46"/>
    </row>
    <row r="216" ht="15.75" customHeight="1">
      <c r="A216" s="46"/>
      <c r="B216" s="59"/>
      <c r="C216" s="59"/>
      <c r="D216" s="59"/>
      <c r="E216" s="59"/>
      <c r="F216" s="59"/>
      <c r="G216" s="59"/>
      <c r="H216" s="59"/>
      <c r="I216" s="59"/>
      <c r="J216" s="59"/>
      <c r="K216" s="59"/>
      <c r="L216" s="59"/>
      <c r="M216" s="59"/>
      <c r="N216" s="59"/>
      <c r="O216" s="59"/>
      <c r="P216" s="59"/>
      <c r="Q216" s="59"/>
      <c r="R216" s="59"/>
      <c r="S216" s="59"/>
      <c r="T216" s="59"/>
      <c r="U216" s="59"/>
      <c r="V216" s="59"/>
      <c r="W216" s="59"/>
      <c r="X216" s="45"/>
      <c r="Y216" s="45"/>
      <c r="Z216" s="45"/>
      <c r="AA216" s="45"/>
      <c r="AB216" s="45"/>
      <c r="AC216" s="45"/>
      <c r="AD216" s="44"/>
      <c r="AE216" s="44"/>
      <c r="AF216" s="44"/>
      <c r="AG216" s="44"/>
      <c r="AH216" s="44"/>
      <c r="AI216" s="44"/>
      <c r="AJ216" s="44"/>
      <c r="AK216" s="44"/>
      <c r="AL216" s="44"/>
      <c r="AM216" s="44"/>
      <c r="AN216" s="44"/>
      <c r="AO216" s="44"/>
      <c r="AP216" s="44"/>
      <c r="AQ216" s="44"/>
      <c r="AR216" s="44"/>
      <c r="AS216" s="44"/>
      <c r="AT216" s="44"/>
      <c r="AU216" s="44"/>
      <c r="AV216" s="45"/>
      <c r="AW216" s="46"/>
      <c r="AX216" s="46"/>
      <c r="AY216" s="46"/>
      <c r="AZ216" s="46"/>
      <c r="BA216" s="46"/>
      <c r="BB216" s="46"/>
      <c r="BC216" s="46"/>
    </row>
    <row r="217" ht="15.75" customHeight="1">
      <c r="A217" s="46"/>
      <c r="B217" s="59"/>
      <c r="C217" s="59"/>
      <c r="D217" s="59"/>
      <c r="E217" s="59"/>
      <c r="F217" s="59"/>
      <c r="G217" s="59"/>
      <c r="H217" s="59"/>
      <c r="I217" s="59"/>
      <c r="J217" s="59"/>
      <c r="K217" s="59"/>
      <c r="L217" s="59"/>
      <c r="M217" s="59"/>
      <c r="N217" s="59"/>
      <c r="O217" s="59"/>
      <c r="P217" s="59"/>
      <c r="Q217" s="59"/>
      <c r="R217" s="59"/>
      <c r="S217" s="59"/>
      <c r="T217" s="59"/>
      <c r="U217" s="59"/>
      <c r="V217" s="59"/>
      <c r="W217" s="59"/>
      <c r="X217" s="45"/>
      <c r="Y217" s="45"/>
      <c r="Z217" s="45"/>
      <c r="AA217" s="45"/>
      <c r="AB217" s="45"/>
      <c r="AC217" s="45"/>
      <c r="AD217" s="44"/>
      <c r="AE217" s="44"/>
      <c r="AF217" s="44"/>
      <c r="AG217" s="44"/>
      <c r="AH217" s="44"/>
      <c r="AI217" s="44"/>
      <c r="AJ217" s="44"/>
      <c r="AK217" s="44"/>
      <c r="AL217" s="44"/>
      <c r="AM217" s="44"/>
      <c r="AN217" s="44"/>
      <c r="AO217" s="44"/>
      <c r="AP217" s="44"/>
      <c r="AQ217" s="44"/>
      <c r="AR217" s="44"/>
      <c r="AS217" s="44"/>
      <c r="AT217" s="44"/>
      <c r="AU217" s="44"/>
      <c r="AV217" s="45"/>
      <c r="AW217" s="46"/>
      <c r="AX217" s="46"/>
      <c r="AY217" s="46"/>
      <c r="AZ217" s="46"/>
      <c r="BA217" s="46"/>
      <c r="BB217" s="46"/>
      <c r="BC217" s="46"/>
    </row>
    <row r="218" ht="15.75" customHeight="1">
      <c r="A218" s="46"/>
      <c r="B218" s="59"/>
      <c r="C218" s="59"/>
      <c r="D218" s="59"/>
      <c r="E218" s="59"/>
      <c r="F218" s="59"/>
      <c r="G218" s="59"/>
      <c r="H218" s="59"/>
      <c r="I218" s="59"/>
      <c r="J218" s="59"/>
      <c r="K218" s="59"/>
      <c r="L218" s="59"/>
      <c r="M218" s="59"/>
      <c r="N218" s="59"/>
      <c r="O218" s="59"/>
      <c r="P218" s="59"/>
      <c r="Q218" s="59"/>
      <c r="R218" s="59"/>
      <c r="S218" s="59"/>
      <c r="T218" s="59"/>
      <c r="U218" s="59"/>
      <c r="V218" s="59"/>
      <c r="W218" s="59"/>
      <c r="X218" s="45"/>
      <c r="Y218" s="45"/>
      <c r="Z218" s="45"/>
      <c r="AA218" s="45"/>
      <c r="AB218" s="45"/>
      <c r="AC218" s="45"/>
      <c r="AD218" s="44"/>
      <c r="AE218" s="44"/>
      <c r="AF218" s="44"/>
      <c r="AG218" s="44"/>
      <c r="AH218" s="44"/>
      <c r="AI218" s="44"/>
      <c r="AJ218" s="44"/>
      <c r="AK218" s="44"/>
      <c r="AL218" s="44"/>
      <c r="AM218" s="44"/>
      <c r="AN218" s="44"/>
      <c r="AO218" s="44"/>
      <c r="AP218" s="44"/>
      <c r="AQ218" s="44"/>
      <c r="AR218" s="44"/>
      <c r="AS218" s="44"/>
      <c r="AT218" s="44"/>
      <c r="AU218" s="44"/>
      <c r="AV218" s="45"/>
      <c r="AW218" s="46"/>
      <c r="AX218" s="46"/>
      <c r="AY218" s="46"/>
      <c r="AZ218" s="46"/>
      <c r="BA218" s="46"/>
      <c r="BB218" s="46"/>
      <c r="BC218" s="46"/>
    </row>
    <row r="219" ht="15.75" customHeight="1">
      <c r="A219" s="46"/>
      <c r="B219" s="59"/>
      <c r="C219" s="59"/>
      <c r="D219" s="59"/>
      <c r="E219" s="59"/>
      <c r="F219" s="59"/>
      <c r="G219" s="59"/>
      <c r="H219" s="59"/>
      <c r="I219" s="59"/>
      <c r="J219" s="59"/>
      <c r="K219" s="59"/>
      <c r="L219" s="59"/>
      <c r="M219" s="59"/>
      <c r="N219" s="59"/>
      <c r="O219" s="59"/>
      <c r="P219" s="59"/>
      <c r="Q219" s="59"/>
      <c r="R219" s="59"/>
      <c r="S219" s="59"/>
      <c r="T219" s="59"/>
      <c r="U219" s="59"/>
      <c r="V219" s="59"/>
      <c r="W219" s="59"/>
      <c r="X219" s="45"/>
      <c r="Y219" s="45"/>
      <c r="Z219" s="45"/>
      <c r="AA219" s="45"/>
      <c r="AB219" s="45"/>
      <c r="AC219" s="45"/>
      <c r="AD219" s="44"/>
      <c r="AE219" s="44"/>
      <c r="AF219" s="44"/>
      <c r="AG219" s="44"/>
      <c r="AH219" s="44"/>
      <c r="AI219" s="44"/>
      <c r="AJ219" s="44"/>
      <c r="AK219" s="44"/>
      <c r="AL219" s="44"/>
      <c r="AM219" s="44"/>
      <c r="AN219" s="44"/>
      <c r="AO219" s="44"/>
      <c r="AP219" s="44"/>
      <c r="AQ219" s="44"/>
      <c r="AR219" s="44"/>
      <c r="AS219" s="44"/>
      <c r="AT219" s="44"/>
      <c r="AU219" s="44"/>
      <c r="AV219" s="45"/>
      <c r="AW219" s="46"/>
      <c r="AX219" s="46"/>
      <c r="AY219" s="46"/>
      <c r="AZ219" s="46"/>
      <c r="BA219" s="46"/>
      <c r="BB219" s="46"/>
      <c r="BC219" s="46"/>
    </row>
    <row r="220" ht="15.75" customHeight="1">
      <c r="A220" s="46"/>
      <c r="B220" s="59"/>
      <c r="C220" s="59"/>
      <c r="D220" s="59"/>
      <c r="E220" s="59"/>
      <c r="F220" s="59"/>
      <c r="G220" s="59"/>
      <c r="H220" s="59"/>
      <c r="I220" s="59"/>
      <c r="J220" s="59"/>
      <c r="K220" s="59"/>
      <c r="L220" s="59"/>
      <c r="M220" s="59"/>
      <c r="N220" s="59"/>
      <c r="O220" s="59"/>
      <c r="P220" s="59"/>
      <c r="Q220" s="59"/>
      <c r="R220" s="59"/>
      <c r="S220" s="59"/>
      <c r="T220" s="59"/>
      <c r="U220" s="59"/>
      <c r="V220" s="59"/>
      <c r="W220" s="59"/>
      <c r="X220" s="45"/>
      <c r="Y220" s="45"/>
      <c r="Z220" s="45"/>
      <c r="AA220" s="45"/>
      <c r="AB220" s="45"/>
      <c r="AC220" s="45"/>
      <c r="AD220" s="44"/>
      <c r="AE220" s="44"/>
      <c r="AF220" s="44"/>
      <c r="AG220" s="44"/>
      <c r="AH220" s="44"/>
      <c r="AI220" s="44"/>
      <c r="AJ220" s="44"/>
      <c r="AK220" s="44"/>
      <c r="AL220" s="44"/>
      <c r="AM220" s="44"/>
      <c r="AN220" s="44"/>
      <c r="AO220" s="44"/>
      <c r="AP220" s="44"/>
      <c r="AQ220" s="44"/>
      <c r="AR220" s="44"/>
      <c r="AS220" s="44"/>
      <c r="AT220" s="44"/>
      <c r="AU220" s="44"/>
      <c r="AV220" s="45"/>
      <c r="AW220" s="46"/>
      <c r="AX220" s="46"/>
      <c r="AY220" s="46"/>
      <c r="AZ220" s="46"/>
      <c r="BA220" s="46"/>
      <c r="BB220" s="46"/>
      <c r="BC220" s="46"/>
    </row>
    <row r="221" ht="15.75" customHeight="1">
      <c r="A221" s="46"/>
      <c r="B221" s="59"/>
      <c r="C221" s="59"/>
      <c r="D221" s="59"/>
      <c r="E221" s="59"/>
      <c r="F221" s="59"/>
      <c r="G221" s="59"/>
      <c r="H221" s="59"/>
      <c r="I221" s="59"/>
      <c r="J221" s="59"/>
      <c r="K221" s="59"/>
      <c r="L221" s="59"/>
      <c r="M221" s="59"/>
      <c r="N221" s="59"/>
      <c r="O221" s="59"/>
      <c r="P221" s="59"/>
      <c r="Q221" s="59"/>
      <c r="R221" s="59"/>
      <c r="S221" s="59"/>
      <c r="T221" s="59"/>
      <c r="U221" s="59"/>
      <c r="V221" s="59"/>
      <c r="W221" s="59"/>
      <c r="X221" s="45"/>
      <c r="Y221" s="45"/>
      <c r="Z221" s="45"/>
      <c r="AA221" s="45"/>
      <c r="AB221" s="45"/>
      <c r="AC221" s="45"/>
      <c r="AD221" s="44"/>
      <c r="AE221" s="44"/>
      <c r="AF221" s="44"/>
      <c r="AG221" s="44"/>
      <c r="AH221" s="44"/>
      <c r="AI221" s="44"/>
      <c r="AJ221" s="44"/>
      <c r="AK221" s="44"/>
      <c r="AL221" s="44"/>
      <c r="AM221" s="44"/>
      <c r="AN221" s="44"/>
      <c r="AO221" s="44"/>
      <c r="AP221" s="44"/>
      <c r="AQ221" s="44"/>
      <c r="AR221" s="44"/>
      <c r="AS221" s="44"/>
      <c r="AT221" s="44"/>
      <c r="AU221" s="44"/>
      <c r="AV221" s="45"/>
      <c r="AW221" s="46"/>
      <c r="AX221" s="46"/>
      <c r="AY221" s="46"/>
      <c r="AZ221" s="46"/>
      <c r="BA221" s="46"/>
      <c r="BB221" s="46"/>
      <c r="BC221" s="46"/>
    </row>
    <row r="222" ht="15.75" customHeight="1">
      <c r="A222" s="46"/>
      <c r="B222" s="59"/>
      <c r="C222" s="59"/>
      <c r="D222" s="59"/>
      <c r="E222" s="59"/>
      <c r="F222" s="59"/>
      <c r="G222" s="59"/>
      <c r="H222" s="59"/>
      <c r="I222" s="59"/>
      <c r="J222" s="59"/>
      <c r="K222" s="59"/>
      <c r="L222" s="59"/>
      <c r="M222" s="59"/>
      <c r="N222" s="59"/>
      <c r="O222" s="59"/>
      <c r="P222" s="59"/>
      <c r="Q222" s="59"/>
      <c r="R222" s="59"/>
      <c r="S222" s="59"/>
      <c r="T222" s="59"/>
      <c r="U222" s="59"/>
      <c r="V222" s="59"/>
      <c r="W222" s="59"/>
      <c r="X222" s="45"/>
      <c r="Y222" s="45"/>
      <c r="Z222" s="45"/>
      <c r="AA222" s="45"/>
      <c r="AB222" s="45"/>
      <c r="AC222" s="45"/>
      <c r="AD222" s="44"/>
      <c r="AE222" s="44"/>
      <c r="AF222" s="44"/>
      <c r="AG222" s="44"/>
      <c r="AH222" s="44"/>
      <c r="AI222" s="44"/>
      <c r="AJ222" s="44"/>
      <c r="AK222" s="44"/>
      <c r="AL222" s="44"/>
      <c r="AM222" s="44"/>
      <c r="AN222" s="44"/>
      <c r="AO222" s="44"/>
      <c r="AP222" s="44"/>
      <c r="AQ222" s="44"/>
      <c r="AR222" s="44"/>
      <c r="AS222" s="44"/>
      <c r="AT222" s="44"/>
      <c r="AU222" s="44"/>
      <c r="AV222" s="45"/>
      <c r="AW222" s="46"/>
      <c r="AX222" s="46"/>
      <c r="AY222" s="46"/>
      <c r="AZ222" s="46"/>
      <c r="BA222" s="46"/>
      <c r="BB222" s="46"/>
      <c r="BC222" s="46"/>
    </row>
    <row r="223" ht="15.75" customHeight="1">
      <c r="A223" s="46"/>
      <c r="B223" s="59"/>
      <c r="C223" s="59"/>
      <c r="D223" s="59"/>
      <c r="E223" s="59"/>
      <c r="F223" s="59"/>
      <c r="G223" s="59"/>
      <c r="H223" s="59"/>
      <c r="I223" s="59"/>
      <c r="J223" s="59"/>
      <c r="K223" s="59"/>
      <c r="L223" s="59"/>
      <c r="M223" s="59"/>
      <c r="N223" s="59"/>
      <c r="O223" s="59"/>
      <c r="P223" s="59"/>
      <c r="Q223" s="59"/>
      <c r="R223" s="59"/>
      <c r="S223" s="59"/>
      <c r="T223" s="59"/>
      <c r="U223" s="59"/>
      <c r="V223" s="59"/>
      <c r="W223" s="59"/>
      <c r="X223" s="45"/>
      <c r="Y223" s="45"/>
      <c r="Z223" s="45"/>
      <c r="AA223" s="45"/>
      <c r="AB223" s="45"/>
      <c r="AC223" s="45"/>
      <c r="AD223" s="44"/>
      <c r="AE223" s="44"/>
      <c r="AF223" s="44"/>
      <c r="AG223" s="44"/>
      <c r="AH223" s="44"/>
      <c r="AI223" s="44"/>
      <c r="AJ223" s="44"/>
      <c r="AK223" s="44"/>
      <c r="AL223" s="44"/>
      <c r="AM223" s="44"/>
      <c r="AN223" s="44"/>
      <c r="AO223" s="44"/>
      <c r="AP223" s="44"/>
      <c r="AQ223" s="44"/>
      <c r="AR223" s="44"/>
      <c r="AS223" s="44"/>
      <c r="AT223" s="44"/>
      <c r="AU223" s="44"/>
      <c r="AV223" s="45"/>
      <c r="AW223" s="46"/>
      <c r="AX223" s="46"/>
      <c r="AY223" s="46"/>
      <c r="AZ223" s="46"/>
      <c r="BA223" s="46"/>
      <c r="BB223" s="46"/>
      <c r="BC223" s="46"/>
    </row>
    <row r="224" ht="15.75" customHeight="1">
      <c r="A224" s="46"/>
      <c r="B224" s="59"/>
      <c r="C224" s="59"/>
      <c r="D224" s="59"/>
      <c r="E224" s="59"/>
      <c r="F224" s="59"/>
      <c r="G224" s="59"/>
      <c r="H224" s="59"/>
      <c r="I224" s="59"/>
      <c r="J224" s="59"/>
      <c r="K224" s="59"/>
      <c r="L224" s="59"/>
      <c r="M224" s="59"/>
      <c r="N224" s="59"/>
      <c r="O224" s="59"/>
      <c r="P224" s="59"/>
      <c r="Q224" s="59"/>
      <c r="R224" s="59"/>
      <c r="S224" s="59"/>
      <c r="T224" s="59"/>
      <c r="U224" s="59"/>
      <c r="V224" s="59"/>
      <c r="W224" s="59"/>
      <c r="X224" s="45"/>
      <c r="Y224" s="45"/>
      <c r="Z224" s="45"/>
      <c r="AA224" s="45"/>
      <c r="AB224" s="45"/>
      <c r="AC224" s="45"/>
      <c r="AD224" s="44"/>
      <c r="AE224" s="44"/>
      <c r="AF224" s="44"/>
      <c r="AG224" s="44"/>
      <c r="AH224" s="44"/>
      <c r="AI224" s="44"/>
      <c r="AJ224" s="44"/>
      <c r="AK224" s="44"/>
      <c r="AL224" s="44"/>
      <c r="AM224" s="44"/>
      <c r="AN224" s="44"/>
      <c r="AO224" s="44"/>
      <c r="AP224" s="44"/>
      <c r="AQ224" s="44"/>
      <c r="AR224" s="44"/>
      <c r="AS224" s="44"/>
      <c r="AT224" s="44"/>
      <c r="AU224" s="44"/>
      <c r="AV224" s="45"/>
      <c r="AW224" s="46"/>
      <c r="AX224" s="46"/>
      <c r="AY224" s="46"/>
      <c r="AZ224" s="46"/>
      <c r="BA224" s="46"/>
      <c r="BB224" s="46"/>
      <c r="BC224" s="46"/>
    </row>
    <row r="225" ht="15.75" customHeight="1">
      <c r="A225" s="46"/>
      <c r="B225" s="59"/>
      <c r="C225" s="59"/>
      <c r="D225" s="59"/>
      <c r="E225" s="59"/>
      <c r="F225" s="59"/>
      <c r="G225" s="59"/>
      <c r="H225" s="59"/>
      <c r="I225" s="59"/>
      <c r="J225" s="59"/>
      <c r="K225" s="59"/>
      <c r="L225" s="59"/>
      <c r="M225" s="59"/>
      <c r="N225" s="59"/>
      <c r="O225" s="59"/>
      <c r="P225" s="59"/>
      <c r="Q225" s="59"/>
      <c r="R225" s="59"/>
      <c r="S225" s="59"/>
      <c r="T225" s="59"/>
      <c r="U225" s="59"/>
      <c r="V225" s="59"/>
      <c r="W225" s="59"/>
      <c r="X225" s="45"/>
      <c r="Y225" s="45"/>
      <c r="Z225" s="45"/>
      <c r="AA225" s="45"/>
      <c r="AB225" s="45"/>
      <c r="AC225" s="45"/>
      <c r="AD225" s="44"/>
      <c r="AE225" s="44"/>
      <c r="AF225" s="44"/>
      <c r="AG225" s="44"/>
      <c r="AH225" s="44"/>
      <c r="AI225" s="44"/>
      <c r="AJ225" s="44"/>
      <c r="AK225" s="44"/>
      <c r="AL225" s="44"/>
      <c r="AM225" s="44"/>
      <c r="AN225" s="44"/>
      <c r="AO225" s="44"/>
      <c r="AP225" s="44"/>
      <c r="AQ225" s="44"/>
      <c r="AR225" s="44"/>
      <c r="AS225" s="44"/>
      <c r="AT225" s="44"/>
      <c r="AU225" s="44"/>
      <c r="AV225" s="45"/>
      <c r="AW225" s="46"/>
      <c r="AX225" s="46"/>
      <c r="AY225" s="46"/>
      <c r="AZ225" s="46"/>
      <c r="BA225" s="46"/>
      <c r="BB225" s="46"/>
      <c r="BC225" s="46"/>
    </row>
    <row r="226" ht="15.75" customHeight="1">
      <c r="A226" s="46"/>
      <c r="B226" s="59"/>
      <c r="C226" s="59"/>
      <c r="D226" s="59"/>
      <c r="E226" s="59"/>
      <c r="F226" s="59"/>
      <c r="G226" s="59"/>
      <c r="H226" s="59"/>
      <c r="I226" s="59"/>
      <c r="J226" s="59"/>
      <c r="K226" s="59"/>
      <c r="L226" s="59"/>
      <c r="M226" s="59"/>
      <c r="N226" s="59"/>
      <c r="O226" s="59"/>
      <c r="P226" s="59"/>
      <c r="Q226" s="59"/>
      <c r="R226" s="59"/>
      <c r="S226" s="59"/>
      <c r="T226" s="59"/>
      <c r="U226" s="59"/>
      <c r="V226" s="59"/>
      <c r="W226" s="59"/>
      <c r="X226" s="45"/>
      <c r="Y226" s="45"/>
      <c r="Z226" s="45"/>
      <c r="AA226" s="45"/>
      <c r="AB226" s="45"/>
      <c r="AC226" s="45"/>
      <c r="AD226" s="44"/>
      <c r="AE226" s="44"/>
      <c r="AF226" s="44"/>
      <c r="AG226" s="44"/>
      <c r="AH226" s="44"/>
      <c r="AI226" s="44"/>
      <c r="AJ226" s="44"/>
      <c r="AK226" s="44"/>
      <c r="AL226" s="44"/>
      <c r="AM226" s="44"/>
      <c r="AN226" s="44"/>
      <c r="AO226" s="44"/>
      <c r="AP226" s="44"/>
      <c r="AQ226" s="44"/>
      <c r="AR226" s="44"/>
      <c r="AS226" s="44"/>
      <c r="AT226" s="44"/>
      <c r="AU226" s="44"/>
      <c r="AV226" s="45"/>
      <c r="AW226" s="46"/>
      <c r="AX226" s="46"/>
      <c r="AY226" s="46"/>
      <c r="AZ226" s="46"/>
      <c r="BA226" s="46"/>
      <c r="BB226" s="46"/>
      <c r="BC226" s="46"/>
    </row>
    <row r="227" ht="15.75" customHeight="1">
      <c r="A227" s="46"/>
      <c r="B227" s="59"/>
      <c r="C227" s="59"/>
      <c r="D227" s="59"/>
      <c r="E227" s="59"/>
      <c r="F227" s="59"/>
      <c r="G227" s="59"/>
      <c r="H227" s="59"/>
      <c r="I227" s="59"/>
      <c r="J227" s="59"/>
      <c r="K227" s="59"/>
      <c r="L227" s="59"/>
      <c r="M227" s="59"/>
      <c r="N227" s="59"/>
      <c r="O227" s="59"/>
      <c r="P227" s="59"/>
      <c r="Q227" s="59"/>
      <c r="R227" s="59"/>
      <c r="S227" s="59"/>
      <c r="T227" s="59"/>
      <c r="U227" s="59"/>
      <c r="V227" s="59"/>
      <c r="W227" s="59"/>
      <c r="X227" s="45"/>
      <c r="Y227" s="45"/>
      <c r="Z227" s="45"/>
      <c r="AA227" s="45"/>
      <c r="AB227" s="45"/>
      <c r="AC227" s="45"/>
      <c r="AD227" s="44"/>
      <c r="AE227" s="44"/>
      <c r="AF227" s="44"/>
      <c r="AG227" s="44"/>
      <c r="AH227" s="44"/>
      <c r="AI227" s="44"/>
      <c r="AJ227" s="44"/>
      <c r="AK227" s="44"/>
      <c r="AL227" s="44"/>
      <c r="AM227" s="44"/>
      <c r="AN227" s="44"/>
      <c r="AO227" s="44"/>
      <c r="AP227" s="44"/>
      <c r="AQ227" s="44"/>
      <c r="AR227" s="44"/>
      <c r="AS227" s="44"/>
      <c r="AT227" s="44"/>
      <c r="AU227" s="44"/>
      <c r="AV227" s="45"/>
      <c r="AW227" s="46"/>
      <c r="AX227" s="46"/>
      <c r="AY227" s="46"/>
      <c r="AZ227" s="46"/>
      <c r="BA227" s="46"/>
      <c r="BB227" s="46"/>
      <c r="BC227" s="46"/>
    </row>
    <row r="228" ht="15.75" customHeight="1">
      <c r="A228" s="46"/>
      <c r="B228" s="59"/>
      <c r="C228" s="59"/>
      <c r="D228" s="59"/>
      <c r="E228" s="59"/>
      <c r="F228" s="59"/>
      <c r="G228" s="59"/>
      <c r="H228" s="59"/>
      <c r="I228" s="59"/>
      <c r="J228" s="59"/>
      <c r="K228" s="59"/>
      <c r="L228" s="59"/>
      <c r="M228" s="59"/>
      <c r="N228" s="59"/>
      <c r="O228" s="59"/>
      <c r="P228" s="59"/>
      <c r="Q228" s="59"/>
      <c r="R228" s="59"/>
      <c r="S228" s="59"/>
      <c r="T228" s="59"/>
      <c r="U228" s="59"/>
      <c r="V228" s="59"/>
      <c r="W228" s="59"/>
      <c r="X228" s="45"/>
      <c r="Y228" s="45"/>
      <c r="Z228" s="45"/>
      <c r="AA228" s="45"/>
      <c r="AB228" s="45"/>
      <c r="AC228" s="45"/>
      <c r="AD228" s="44"/>
      <c r="AE228" s="44"/>
      <c r="AF228" s="44"/>
      <c r="AG228" s="44"/>
      <c r="AH228" s="44"/>
      <c r="AI228" s="44"/>
      <c r="AJ228" s="44"/>
      <c r="AK228" s="44"/>
      <c r="AL228" s="44"/>
      <c r="AM228" s="44"/>
      <c r="AN228" s="44"/>
      <c r="AO228" s="44"/>
      <c r="AP228" s="44"/>
      <c r="AQ228" s="44"/>
      <c r="AR228" s="44"/>
      <c r="AS228" s="44"/>
      <c r="AT228" s="44"/>
      <c r="AU228" s="44"/>
      <c r="AV228" s="45"/>
      <c r="AW228" s="46"/>
      <c r="AX228" s="46"/>
      <c r="AY228" s="46"/>
      <c r="AZ228" s="46"/>
      <c r="BA228" s="46"/>
      <c r="BB228" s="46"/>
      <c r="BC228" s="46"/>
    </row>
    <row r="229" ht="15.75" customHeight="1">
      <c r="A229" s="46"/>
      <c r="B229" s="59"/>
      <c r="C229" s="59"/>
      <c r="D229" s="59"/>
      <c r="E229" s="59"/>
      <c r="F229" s="59"/>
      <c r="G229" s="59"/>
      <c r="H229" s="59"/>
      <c r="I229" s="59"/>
      <c r="J229" s="59"/>
      <c r="K229" s="59"/>
      <c r="L229" s="59"/>
      <c r="M229" s="59"/>
      <c r="N229" s="59"/>
      <c r="O229" s="59"/>
      <c r="P229" s="59"/>
      <c r="Q229" s="59"/>
      <c r="R229" s="59"/>
      <c r="S229" s="59"/>
      <c r="T229" s="59"/>
      <c r="U229" s="59"/>
      <c r="V229" s="59"/>
      <c r="W229" s="59"/>
      <c r="X229" s="45"/>
      <c r="Y229" s="45"/>
      <c r="Z229" s="45"/>
      <c r="AA229" s="45"/>
      <c r="AB229" s="45"/>
      <c r="AC229" s="45"/>
      <c r="AD229" s="44"/>
      <c r="AE229" s="44"/>
      <c r="AF229" s="44"/>
      <c r="AG229" s="44"/>
      <c r="AH229" s="44"/>
      <c r="AI229" s="44"/>
      <c r="AJ229" s="44"/>
      <c r="AK229" s="44"/>
      <c r="AL229" s="44"/>
      <c r="AM229" s="44"/>
      <c r="AN229" s="44"/>
      <c r="AO229" s="44"/>
      <c r="AP229" s="44"/>
      <c r="AQ229" s="44"/>
      <c r="AR229" s="44"/>
      <c r="AS229" s="44"/>
      <c r="AT229" s="44"/>
      <c r="AU229" s="44"/>
      <c r="AV229" s="45"/>
      <c r="AW229" s="46"/>
      <c r="AX229" s="46"/>
      <c r="AY229" s="46"/>
      <c r="AZ229" s="46"/>
      <c r="BA229" s="46"/>
      <c r="BB229" s="46"/>
      <c r="BC229" s="46"/>
    </row>
    <row r="230" ht="15.75" customHeight="1">
      <c r="A230" s="46"/>
      <c r="B230" s="59"/>
      <c r="C230" s="59"/>
      <c r="D230" s="59"/>
      <c r="E230" s="59"/>
      <c r="F230" s="59"/>
      <c r="G230" s="59"/>
      <c r="H230" s="59"/>
      <c r="I230" s="59"/>
      <c r="J230" s="59"/>
      <c r="K230" s="59"/>
      <c r="L230" s="59"/>
      <c r="M230" s="59"/>
      <c r="N230" s="59"/>
      <c r="O230" s="59"/>
      <c r="P230" s="59"/>
      <c r="Q230" s="59"/>
      <c r="R230" s="59"/>
      <c r="S230" s="59"/>
      <c r="T230" s="59"/>
      <c r="U230" s="59"/>
      <c r="V230" s="59"/>
      <c r="W230" s="59"/>
      <c r="X230" s="45"/>
      <c r="Y230" s="45"/>
      <c r="Z230" s="45"/>
      <c r="AA230" s="45"/>
      <c r="AB230" s="45"/>
      <c r="AC230" s="45"/>
      <c r="AD230" s="44"/>
      <c r="AE230" s="44"/>
      <c r="AF230" s="44"/>
      <c r="AG230" s="44"/>
      <c r="AH230" s="44"/>
      <c r="AI230" s="44"/>
      <c r="AJ230" s="44"/>
      <c r="AK230" s="44"/>
      <c r="AL230" s="44"/>
      <c r="AM230" s="44"/>
      <c r="AN230" s="44"/>
      <c r="AO230" s="44"/>
      <c r="AP230" s="44"/>
      <c r="AQ230" s="44"/>
      <c r="AR230" s="44"/>
      <c r="AS230" s="44"/>
      <c r="AT230" s="44"/>
      <c r="AU230" s="44"/>
      <c r="AV230" s="45"/>
      <c r="AW230" s="46"/>
      <c r="AX230" s="46"/>
      <c r="AY230" s="46"/>
      <c r="AZ230" s="46"/>
      <c r="BA230" s="46"/>
      <c r="BB230" s="46"/>
      <c r="BC230" s="46"/>
    </row>
    <row r="231" ht="15.75" customHeight="1">
      <c r="A231" s="46"/>
      <c r="B231" s="59"/>
      <c r="C231" s="59"/>
      <c r="D231" s="59"/>
      <c r="E231" s="59"/>
      <c r="F231" s="59"/>
      <c r="G231" s="59"/>
      <c r="H231" s="59"/>
      <c r="I231" s="59"/>
      <c r="J231" s="59"/>
      <c r="K231" s="59"/>
      <c r="L231" s="59"/>
      <c r="M231" s="59"/>
      <c r="N231" s="59"/>
      <c r="O231" s="59"/>
      <c r="P231" s="59"/>
      <c r="Q231" s="59"/>
      <c r="R231" s="59"/>
      <c r="S231" s="59"/>
      <c r="T231" s="59"/>
      <c r="U231" s="59"/>
      <c r="V231" s="59"/>
      <c r="W231" s="59"/>
      <c r="X231" s="45"/>
      <c r="Y231" s="45"/>
      <c r="Z231" s="45"/>
      <c r="AA231" s="45"/>
      <c r="AB231" s="45"/>
      <c r="AC231" s="45"/>
      <c r="AD231" s="44"/>
      <c r="AE231" s="44"/>
      <c r="AF231" s="44"/>
      <c r="AG231" s="44"/>
      <c r="AH231" s="44"/>
      <c r="AI231" s="44"/>
      <c r="AJ231" s="44"/>
      <c r="AK231" s="44"/>
      <c r="AL231" s="44"/>
      <c r="AM231" s="44"/>
      <c r="AN231" s="44"/>
      <c r="AO231" s="44"/>
      <c r="AP231" s="44"/>
      <c r="AQ231" s="44"/>
      <c r="AR231" s="44"/>
      <c r="AS231" s="44"/>
      <c r="AT231" s="44"/>
      <c r="AU231" s="44"/>
      <c r="AV231" s="45"/>
      <c r="AW231" s="46"/>
      <c r="AX231" s="46"/>
      <c r="AY231" s="46"/>
      <c r="AZ231" s="46"/>
      <c r="BA231" s="46"/>
      <c r="BB231" s="46"/>
      <c r="BC231" s="46"/>
    </row>
    <row r="232" ht="15.75" customHeight="1">
      <c r="A232" s="46"/>
      <c r="B232" s="59"/>
      <c r="C232" s="59"/>
      <c r="D232" s="59"/>
      <c r="E232" s="59"/>
      <c r="F232" s="59"/>
      <c r="G232" s="59"/>
      <c r="H232" s="59"/>
      <c r="I232" s="59"/>
      <c r="J232" s="59"/>
      <c r="K232" s="59"/>
      <c r="L232" s="59"/>
      <c r="M232" s="59"/>
      <c r="N232" s="59"/>
      <c r="O232" s="59"/>
      <c r="P232" s="59"/>
      <c r="Q232" s="59"/>
      <c r="R232" s="59"/>
      <c r="S232" s="59"/>
      <c r="T232" s="59"/>
      <c r="U232" s="59"/>
      <c r="V232" s="59"/>
      <c r="W232" s="59"/>
      <c r="X232" s="45"/>
      <c r="Y232" s="45"/>
      <c r="Z232" s="45"/>
      <c r="AA232" s="45"/>
      <c r="AB232" s="45"/>
      <c r="AC232" s="45"/>
      <c r="AD232" s="44"/>
      <c r="AE232" s="44"/>
      <c r="AF232" s="44"/>
      <c r="AG232" s="44"/>
      <c r="AH232" s="44"/>
      <c r="AI232" s="44"/>
      <c r="AJ232" s="44"/>
      <c r="AK232" s="44"/>
      <c r="AL232" s="44"/>
      <c r="AM232" s="44"/>
      <c r="AN232" s="44"/>
      <c r="AO232" s="44"/>
      <c r="AP232" s="44"/>
      <c r="AQ232" s="44"/>
      <c r="AR232" s="44"/>
      <c r="AS232" s="44"/>
      <c r="AT232" s="44"/>
      <c r="AU232" s="44"/>
      <c r="AV232" s="45"/>
      <c r="AW232" s="46"/>
      <c r="AX232" s="46"/>
      <c r="AY232" s="46"/>
      <c r="AZ232" s="46"/>
      <c r="BA232" s="46"/>
      <c r="BB232" s="46"/>
      <c r="BC232" s="46"/>
    </row>
    <row r="233" ht="15.75" customHeight="1">
      <c r="A233" s="46"/>
      <c r="B233" s="59"/>
      <c r="C233" s="59"/>
      <c r="D233" s="59"/>
      <c r="E233" s="59"/>
      <c r="F233" s="59"/>
      <c r="G233" s="59"/>
      <c r="H233" s="59"/>
      <c r="I233" s="59"/>
      <c r="J233" s="59"/>
      <c r="K233" s="59"/>
      <c r="L233" s="59"/>
      <c r="M233" s="59"/>
      <c r="N233" s="59"/>
      <c r="O233" s="59"/>
      <c r="P233" s="59"/>
      <c r="Q233" s="59"/>
      <c r="R233" s="59"/>
      <c r="S233" s="59"/>
      <c r="T233" s="59"/>
      <c r="U233" s="59"/>
      <c r="V233" s="59"/>
      <c r="W233" s="59"/>
      <c r="X233" s="45"/>
      <c r="Y233" s="45"/>
      <c r="Z233" s="45"/>
      <c r="AA233" s="45"/>
      <c r="AB233" s="45"/>
      <c r="AC233" s="45"/>
      <c r="AD233" s="44"/>
      <c r="AE233" s="44"/>
      <c r="AF233" s="44"/>
      <c r="AG233" s="44"/>
      <c r="AH233" s="44"/>
      <c r="AI233" s="44"/>
      <c r="AJ233" s="44"/>
      <c r="AK233" s="44"/>
      <c r="AL233" s="44"/>
      <c r="AM233" s="44"/>
      <c r="AN233" s="44"/>
      <c r="AO233" s="44"/>
      <c r="AP233" s="44"/>
      <c r="AQ233" s="44"/>
      <c r="AR233" s="44"/>
      <c r="AS233" s="44"/>
      <c r="AT233" s="44"/>
      <c r="AU233" s="44"/>
      <c r="AV233" s="45"/>
      <c r="AW233" s="46"/>
      <c r="AX233" s="46"/>
      <c r="AY233" s="46"/>
      <c r="AZ233" s="46"/>
      <c r="BA233" s="46"/>
      <c r="BB233" s="46"/>
      <c r="BC233" s="46"/>
    </row>
    <row r="234" ht="15.75" customHeight="1">
      <c r="A234" s="46"/>
      <c r="B234" s="59"/>
      <c r="C234" s="59"/>
      <c r="D234" s="59"/>
      <c r="E234" s="59"/>
      <c r="F234" s="59"/>
      <c r="G234" s="59"/>
      <c r="H234" s="59"/>
      <c r="I234" s="59"/>
      <c r="J234" s="59"/>
      <c r="K234" s="59"/>
      <c r="L234" s="59"/>
      <c r="M234" s="59"/>
      <c r="N234" s="59"/>
      <c r="O234" s="59"/>
      <c r="P234" s="59"/>
      <c r="Q234" s="59"/>
      <c r="R234" s="59"/>
      <c r="S234" s="59"/>
      <c r="T234" s="59"/>
      <c r="U234" s="59"/>
      <c r="V234" s="59"/>
      <c r="W234" s="59"/>
      <c r="X234" s="45"/>
      <c r="Y234" s="45"/>
      <c r="Z234" s="45"/>
      <c r="AA234" s="45"/>
      <c r="AB234" s="45"/>
      <c r="AC234" s="45"/>
      <c r="AD234" s="44"/>
      <c r="AE234" s="44"/>
      <c r="AF234" s="44"/>
      <c r="AG234" s="44"/>
      <c r="AH234" s="44"/>
      <c r="AI234" s="44"/>
      <c r="AJ234" s="44"/>
      <c r="AK234" s="44"/>
      <c r="AL234" s="44"/>
      <c r="AM234" s="44"/>
      <c r="AN234" s="44"/>
      <c r="AO234" s="44"/>
      <c r="AP234" s="44"/>
      <c r="AQ234" s="44"/>
      <c r="AR234" s="44"/>
      <c r="AS234" s="44"/>
      <c r="AT234" s="44"/>
      <c r="AU234" s="44"/>
      <c r="AV234" s="45"/>
      <c r="AW234" s="46"/>
      <c r="AX234" s="46"/>
      <c r="AY234" s="46"/>
      <c r="AZ234" s="46"/>
      <c r="BA234" s="46"/>
      <c r="BB234" s="46"/>
      <c r="BC234" s="46"/>
    </row>
    <row r="235" ht="15.75" customHeight="1">
      <c r="A235" s="46"/>
      <c r="B235" s="59"/>
      <c r="C235" s="59"/>
      <c r="D235" s="59"/>
      <c r="E235" s="59"/>
      <c r="F235" s="59"/>
      <c r="G235" s="59"/>
      <c r="H235" s="59"/>
      <c r="I235" s="59"/>
      <c r="J235" s="59"/>
      <c r="K235" s="59"/>
      <c r="L235" s="59"/>
      <c r="M235" s="59"/>
      <c r="N235" s="59"/>
      <c r="O235" s="59"/>
      <c r="P235" s="59"/>
      <c r="Q235" s="59"/>
      <c r="R235" s="59"/>
      <c r="S235" s="59"/>
      <c r="T235" s="59"/>
      <c r="U235" s="59"/>
      <c r="V235" s="59"/>
      <c r="W235" s="59"/>
      <c r="X235" s="45"/>
      <c r="Y235" s="45"/>
      <c r="Z235" s="45"/>
      <c r="AA235" s="45"/>
      <c r="AB235" s="45"/>
      <c r="AC235" s="45"/>
      <c r="AD235" s="44"/>
      <c r="AE235" s="44"/>
      <c r="AF235" s="44"/>
      <c r="AG235" s="44"/>
      <c r="AH235" s="44"/>
      <c r="AI235" s="44"/>
      <c r="AJ235" s="44"/>
      <c r="AK235" s="44"/>
      <c r="AL235" s="44"/>
      <c r="AM235" s="44"/>
      <c r="AN235" s="44"/>
      <c r="AO235" s="44"/>
      <c r="AP235" s="44"/>
      <c r="AQ235" s="44"/>
      <c r="AR235" s="44"/>
      <c r="AS235" s="44"/>
      <c r="AT235" s="44"/>
      <c r="AU235" s="44"/>
      <c r="AV235" s="45"/>
      <c r="AW235" s="46"/>
      <c r="AX235" s="46"/>
      <c r="AY235" s="46"/>
      <c r="AZ235" s="46"/>
      <c r="BA235" s="46"/>
      <c r="BB235" s="46"/>
      <c r="BC235" s="46"/>
    </row>
    <row r="236" ht="15.75" customHeight="1">
      <c r="A236" s="46"/>
      <c r="B236" s="59"/>
      <c r="C236" s="59"/>
      <c r="D236" s="59"/>
      <c r="E236" s="59"/>
      <c r="F236" s="59"/>
      <c r="G236" s="59"/>
      <c r="H236" s="59"/>
      <c r="I236" s="59"/>
      <c r="J236" s="59"/>
      <c r="K236" s="59"/>
      <c r="L236" s="59"/>
      <c r="M236" s="59"/>
      <c r="N236" s="59"/>
      <c r="O236" s="59"/>
      <c r="P236" s="59"/>
      <c r="Q236" s="59"/>
      <c r="R236" s="59"/>
      <c r="S236" s="59"/>
      <c r="T236" s="59"/>
      <c r="U236" s="59"/>
      <c r="V236" s="59"/>
      <c r="W236" s="59"/>
      <c r="X236" s="45"/>
      <c r="Y236" s="45"/>
      <c r="Z236" s="45"/>
      <c r="AA236" s="45"/>
      <c r="AB236" s="45"/>
      <c r="AC236" s="45"/>
      <c r="AD236" s="44"/>
      <c r="AE236" s="44"/>
      <c r="AF236" s="44"/>
      <c r="AG236" s="44"/>
      <c r="AH236" s="44"/>
      <c r="AI236" s="44"/>
      <c r="AJ236" s="44"/>
      <c r="AK236" s="44"/>
      <c r="AL236" s="44"/>
      <c r="AM236" s="44"/>
      <c r="AN236" s="44"/>
      <c r="AO236" s="44"/>
      <c r="AP236" s="44"/>
      <c r="AQ236" s="44"/>
      <c r="AR236" s="44"/>
      <c r="AS236" s="44"/>
      <c r="AT236" s="44"/>
      <c r="AU236" s="44"/>
      <c r="AV236" s="45"/>
      <c r="AW236" s="46"/>
      <c r="AX236" s="46"/>
      <c r="AY236" s="46"/>
      <c r="AZ236" s="46"/>
      <c r="BA236" s="46"/>
      <c r="BB236" s="46"/>
      <c r="BC236" s="46"/>
    </row>
    <row r="237" ht="15.75" customHeight="1">
      <c r="A237" s="46"/>
      <c r="B237" s="59"/>
      <c r="C237" s="59"/>
      <c r="D237" s="59"/>
      <c r="E237" s="59"/>
      <c r="F237" s="59"/>
      <c r="G237" s="59"/>
      <c r="H237" s="59"/>
      <c r="I237" s="59"/>
      <c r="J237" s="59"/>
      <c r="K237" s="59"/>
      <c r="L237" s="59"/>
      <c r="M237" s="59"/>
      <c r="N237" s="59"/>
      <c r="O237" s="59"/>
      <c r="P237" s="59"/>
      <c r="Q237" s="59"/>
      <c r="R237" s="59"/>
      <c r="S237" s="59"/>
      <c r="T237" s="59"/>
      <c r="U237" s="59"/>
      <c r="V237" s="59"/>
      <c r="W237" s="59"/>
      <c r="X237" s="45"/>
      <c r="Y237" s="45"/>
      <c r="Z237" s="45"/>
      <c r="AA237" s="45"/>
      <c r="AB237" s="45"/>
      <c r="AC237" s="45"/>
      <c r="AD237" s="44"/>
      <c r="AE237" s="44"/>
      <c r="AF237" s="44"/>
      <c r="AG237" s="44"/>
      <c r="AH237" s="44"/>
      <c r="AI237" s="44"/>
      <c r="AJ237" s="44"/>
      <c r="AK237" s="44"/>
      <c r="AL237" s="44"/>
      <c r="AM237" s="44"/>
      <c r="AN237" s="44"/>
      <c r="AO237" s="44"/>
      <c r="AP237" s="44"/>
      <c r="AQ237" s="44"/>
      <c r="AR237" s="44"/>
      <c r="AS237" s="44"/>
      <c r="AT237" s="44"/>
      <c r="AU237" s="44"/>
      <c r="AV237" s="45"/>
      <c r="AW237" s="46"/>
      <c r="AX237" s="46"/>
      <c r="AY237" s="46"/>
      <c r="AZ237" s="46"/>
      <c r="BA237" s="46"/>
      <c r="BB237" s="46"/>
      <c r="BC237" s="46"/>
    </row>
    <row r="238" ht="15.75" customHeight="1">
      <c r="A238" s="46"/>
      <c r="B238" s="59"/>
      <c r="C238" s="59"/>
      <c r="D238" s="59"/>
      <c r="E238" s="59"/>
      <c r="F238" s="59"/>
      <c r="G238" s="59"/>
      <c r="H238" s="59"/>
      <c r="I238" s="59"/>
      <c r="J238" s="59"/>
      <c r="K238" s="59"/>
      <c r="L238" s="59"/>
      <c r="M238" s="59"/>
      <c r="N238" s="59"/>
      <c r="O238" s="59"/>
      <c r="P238" s="59"/>
      <c r="Q238" s="59"/>
      <c r="R238" s="59"/>
      <c r="S238" s="59"/>
      <c r="T238" s="59"/>
      <c r="U238" s="59"/>
      <c r="V238" s="59"/>
      <c r="W238" s="59"/>
      <c r="X238" s="45"/>
      <c r="Y238" s="45"/>
      <c r="Z238" s="45"/>
      <c r="AA238" s="45"/>
      <c r="AB238" s="45"/>
      <c r="AC238" s="45"/>
      <c r="AD238" s="44"/>
      <c r="AE238" s="44"/>
      <c r="AF238" s="44"/>
      <c r="AG238" s="44"/>
      <c r="AH238" s="44"/>
      <c r="AI238" s="44"/>
      <c r="AJ238" s="44"/>
      <c r="AK238" s="44"/>
      <c r="AL238" s="44"/>
      <c r="AM238" s="44"/>
      <c r="AN238" s="44"/>
      <c r="AO238" s="44"/>
      <c r="AP238" s="44"/>
      <c r="AQ238" s="44"/>
      <c r="AR238" s="44"/>
      <c r="AS238" s="44"/>
      <c r="AT238" s="44"/>
      <c r="AU238" s="44"/>
      <c r="AV238" s="45"/>
      <c r="AW238" s="46"/>
      <c r="AX238" s="46"/>
      <c r="AY238" s="46"/>
      <c r="AZ238" s="46"/>
      <c r="BA238" s="46"/>
      <c r="BB238" s="46"/>
      <c r="BC238" s="46"/>
    </row>
    <row r="239" ht="15.75" customHeight="1">
      <c r="A239" s="46"/>
      <c r="B239" s="59"/>
      <c r="C239" s="59"/>
      <c r="D239" s="59"/>
      <c r="E239" s="59"/>
      <c r="F239" s="59"/>
      <c r="G239" s="59"/>
      <c r="H239" s="59"/>
      <c r="I239" s="59"/>
      <c r="J239" s="59"/>
      <c r="K239" s="59"/>
      <c r="L239" s="59"/>
      <c r="M239" s="59"/>
      <c r="N239" s="59"/>
      <c r="O239" s="59"/>
      <c r="P239" s="59"/>
      <c r="Q239" s="59"/>
      <c r="R239" s="59"/>
      <c r="S239" s="59"/>
      <c r="T239" s="59"/>
      <c r="U239" s="59"/>
      <c r="V239" s="59"/>
      <c r="W239" s="59"/>
      <c r="X239" s="45"/>
      <c r="Y239" s="45"/>
      <c r="Z239" s="45"/>
      <c r="AA239" s="45"/>
      <c r="AB239" s="45"/>
      <c r="AC239" s="45"/>
      <c r="AD239" s="44"/>
      <c r="AE239" s="44"/>
      <c r="AF239" s="44"/>
      <c r="AG239" s="44"/>
      <c r="AH239" s="44"/>
      <c r="AI239" s="44"/>
      <c r="AJ239" s="44"/>
      <c r="AK239" s="44"/>
      <c r="AL239" s="44"/>
      <c r="AM239" s="44"/>
      <c r="AN239" s="44"/>
      <c r="AO239" s="44"/>
      <c r="AP239" s="44"/>
      <c r="AQ239" s="44"/>
      <c r="AR239" s="44"/>
      <c r="AS239" s="44"/>
      <c r="AT239" s="44"/>
      <c r="AU239" s="44"/>
      <c r="AV239" s="45"/>
      <c r="AW239" s="46"/>
      <c r="AX239" s="46"/>
      <c r="AY239" s="46"/>
      <c r="AZ239" s="46"/>
      <c r="BA239" s="46"/>
      <c r="BB239" s="46"/>
      <c r="BC239" s="46"/>
    </row>
    <row r="240" ht="15.75" customHeight="1">
      <c r="A240" s="46"/>
      <c r="B240" s="59"/>
      <c r="C240" s="59"/>
      <c r="D240" s="59"/>
      <c r="E240" s="59"/>
      <c r="F240" s="59"/>
      <c r="G240" s="59"/>
      <c r="H240" s="59"/>
      <c r="I240" s="59"/>
      <c r="J240" s="59"/>
      <c r="K240" s="59"/>
      <c r="L240" s="59"/>
      <c r="M240" s="59"/>
      <c r="N240" s="59"/>
      <c r="O240" s="59"/>
      <c r="P240" s="59"/>
      <c r="Q240" s="59"/>
      <c r="R240" s="59"/>
      <c r="S240" s="59"/>
      <c r="T240" s="59"/>
      <c r="U240" s="59"/>
      <c r="V240" s="59"/>
      <c r="W240" s="59"/>
      <c r="X240" s="45"/>
      <c r="Y240" s="45"/>
      <c r="Z240" s="45"/>
      <c r="AA240" s="45"/>
      <c r="AB240" s="45"/>
      <c r="AC240" s="45"/>
      <c r="AD240" s="44"/>
      <c r="AE240" s="44"/>
      <c r="AF240" s="44"/>
      <c r="AG240" s="44"/>
      <c r="AH240" s="44"/>
      <c r="AI240" s="44"/>
      <c r="AJ240" s="44"/>
      <c r="AK240" s="44"/>
      <c r="AL240" s="44"/>
      <c r="AM240" s="44"/>
      <c r="AN240" s="44"/>
      <c r="AO240" s="44"/>
      <c r="AP240" s="44"/>
      <c r="AQ240" s="44"/>
      <c r="AR240" s="44"/>
      <c r="AS240" s="44"/>
      <c r="AT240" s="44"/>
      <c r="AU240" s="44"/>
      <c r="AV240" s="45"/>
      <c r="AW240" s="46"/>
      <c r="AX240" s="46"/>
      <c r="AY240" s="46"/>
      <c r="AZ240" s="46"/>
      <c r="BA240" s="46"/>
      <c r="BB240" s="46"/>
      <c r="BC240" s="46"/>
    </row>
    <row r="241" ht="15.75" customHeight="1">
      <c r="A241" s="46"/>
      <c r="B241" s="59"/>
      <c r="C241" s="59"/>
      <c r="D241" s="59"/>
      <c r="E241" s="59"/>
      <c r="F241" s="59"/>
      <c r="G241" s="59"/>
      <c r="H241" s="59"/>
      <c r="I241" s="59"/>
      <c r="J241" s="59"/>
      <c r="K241" s="59"/>
      <c r="L241" s="59"/>
      <c r="M241" s="59"/>
      <c r="N241" s="59"/>
      <c r="O241" s="59"/>
      <c r="P241" s="59"/>
      <c r="Q241" s="59"/>
      <c r="R241" s="59"/>
      <c r="S241" s="59"/>
      <c r="T241" s="59"/>
      <c r="U241" s="59"/>
      <c r="V241" s="59"/>
      <c r="W241" s="59"/>
      <c r="X241" s="45"/>
      <c r="Y241" s="45"/>
      <c r="Z241" s="45"/>
      <c r="AA241" s="45"/>
      <c r="AB241" s="45"/>
      <c r="AC241" s="45"/>
      <c r="AD241" s="44"/>
      <c r="AE241" s="44"/>
      <c r="AF241" s="44"/>
      <c r="AG241" s="44"/>
      <c r="AH241" s="44"/>
      <c r="AI241" s="44"/>
      <c r="AJ241" s="44"/>
      <c r="AK241" s="44"/>
      <c r="AL241" s="44"/>
      <c r="AM241" s="44"/>
      <c r="AN241" s="44"/>
      <c r="AO241" s="44"/>
      <c r="AP241" s="44"/>
      <c r="AQ241" s="44"/>
      <c r="AR241" s="44"/>
      <c r="AS241" s="44"/>
      <c r="AT241" s="44"/>
      <c r="AU241" s="44"/>
      <c r="AV241" s="45"/>
      <c r="AW241" s="46"/>
      <c r="AX241" s="46"/>
      <c r="AY241" s="46"/>
      <c r="AZ241" s="46"/>
      <c r="BA241" s="46"/>
      <c r="BB241" s="46"/>
      <c r="BC241" s="46"/>
    </row>
    <row r="242" ht="15.75" customHeight="1">
      <c r="A242" s="46"/>
      <c r="B242" s="59"/>
      <c r="C242" s="59"/>
      <c r="D242" s="59"/>
      <c r="E242" s="59"/>
      <c r="F242" s="59"/>
      <c r="G242" s="59"/>
      <c r="H242" s="59"/>
      <c r="I242" s="59"/>
      <c r="J242" s="59"/>
      <c r="K242" s="59"/>
      <c r="L242" s="59"/>
      <c r="M242" s="59"/>
      <c r="N242" s="59"/>
      <c r="O242" s="59"/>
      <c r="P242" s="59"/>
      <c r="Q242" s="59"/>
      <c r="R242" s="59"/>
      <c r="S242" s="59"/>
      <c r="T242" s="59"/>
      <c r="U242" s="59"/>
      <c r="V242" s="59"/>
      <c r="W242" s="59"/>
      <c r="X242" s="45"/>
      <c r="Y242" s="45"/>
      <c r="Z242" s="45"/>
      <c r="AA242" s="45"/>
      <c r="AB242" s="45"/>
      <c r="AC242" s="45"/>
      <c r="AD242" s="44"/>
      <c r="AE242" s="44"/>
      <c r="AF242" s="44"/>
      <c r="AG242" s="44"/>
      <c r="AH242" s="44"/>
      <c r="AI242" s="44"/>
      <c r="AJ242" s="44"/>
      <c r="AK242" s="44"/>
      <c r="AL242" s="44"/>
      <c r="AM242" s="44"/>
      <c r="AN242" s="44"/>
      <c r="AO242" s="44"/>
      <c r="AP242" s="44"/>
      <c r="AQ242" s="44"/>
      <c r="AR242" s="44"/>
      <c r="AS242" s="44"/>
      <c r="AT242" s="44"/>
      <c r="AU242" s="44"/>
      <c r="AV242" s="45"/>
      <c r="AW242" s="46"/>
      <c r="AX242" s="46"/>
      <c r="AY242" s="46"/>
      <c r="AZ242" s="46"/>
      <c r="BA242" s="46"/>
      <c r="BB242" s="46"/>
      <c r="BC242" s="46"/>
    </row>
    <row r="243" ht="15.75" customHeight="1">
      <c r="A243" s="46"/>
      <c r="B243" s="59"/>
      <c r="C243" s="59"/>
      <c r="D243" s="59"/>
      <c r="E243" s="59"/>
      <c r="F243" s="59"/>
      <c r="G243" s="59"/>
      <c r="H243" s="59"/>
      <c r="I243" s="59"/>
      <c r="J243" s="59"/>
      <c r="K243" s="59"/>
      <c r="L243" s="59"/>
      <c r="M243" s="59"/>
      <c r="N243" s="59"/>
      <c r="O243" s="59"/>
      <c r="P243" s="59"/>
      <c r="Q243" s="59"/>
      <c r="R243" s="59"/>
      <c r="S243" s="59"/>
      <c r="T243" s="59"/>
      <c r="U243" s="59"/>
      <c r="V243" s="59"/>
      <c r="W243" s="59"/>
      <c r="X243" s="45"/>
      <c r="Y243" s="45"/>
      <c r="Z243" s="45"/>
      <c r="AA243" s="45"/>
      <c r="AB243" s="45"/>
      <c r="AC243" s="45"/>
      <c r="AD243" s="44"/>
      <c r="AE243" s="44"/>
      <c r="AF243" s="44"/>
      <c r="AG243" s="44"/>
      <c r="AH243" s="44"/>
      <c r="AI243" s="44"/>
      <c r="AJ243" s="44"/>
      <c r="AK243" s="44"/>
      <c r="AL243" s="44"/>
      <c r="AM243" s="44"/>
      <c r="AN243" s="44"/>
      <c r="AO243" s="44"/>
      <c r="AP243" s="44"/>
      <c r="AQ243" s="44"/>
      <c r="AR243" s="44"/>
      <c r="AS243" s="44"/>
      <c r="AT243" s="44"/>
      <c r="AU243" s="44"/>
      <c r="AV243" s="45"/>
      <c r="AW243" s="46"/>
      <c r="AX243" s="46"/>
      <c r="AY243" s="46"/>
      <c r="AZ243" s="46"/>
      <c r="BA243" s="46"/>
      <c r="BB243" s="46"/>
      <c r="BC243" s="46"/>
    </row>
    <row r="244" ht="15.75" customHeight="1">
      <c r="A244" s="46"/>
      <c r="B244" s="59"/>
      <c r="C244" s="59"/>
      <c r="D244" s="59"/>
      <c r="E244" s="59"/>
      <c r="F244" s="59"/>
      <c r="G244" s="59"/>
      <c r="H244" s="59"/>
      <c r="I244" s="59"/>
      <c r="J244" s="59"/>
      <c r="K244" s="59"/>
      <c r="L244" s="59"/>
      <c r="M244" s="59"/>
      <c r="N244" s="59"/>
      <c r="O244" s="59"/>
      <c r="P244" s="59"/>
      <c r="Q244" s="59"/>
      <c r="R244" s="59"/>
      <c r="S244" s="59"/>
      <c r="T244" s="59"/>
      <c r="U244" s="59"/>
      <c r="V244" s="59"/>
      <c r="W244" s="59"/>
      <c r="X244" s="45"/>
      <c r="Y244" s="45"/>
      <c r="Z244" s="45"/>
      <c r="AA244" s="45"/>
      <c r="AB244" s="45"/>
      <c r="AC244" s="45"/>
      <c r="AD244" s="44"/>
      <c r="AE244" s="44"/>
      <c r="AF244" s="44"/>
      <c r="AG244" s="44"/>
      <c r="AH244" s="44"/>
      <c r="AI244" s="44"/>
      <c r="AJ244" s="44"/>
      <c r="AK244" s="44"/>
      <c r="AL244" s="44"/>
      <c r="AM244" s="44"/>
      <c r="AN244" s="44"/>
      <c r="AO244" s="44"/>
      <c r="AP244" s="44"/>
      <c r="AQ244" s="44"/>
      <c r="AR244" s="44"/>
      <c r="AS244" s="44"/>
      <c r="AT244" s="44"/>
      <c r="AU244" s="44"/>
      <c r="AV244" s="45"/>
      <c r="AW244" s="46"/>
      <c r="AX244" s="46"/>
      <c r="AY244" s="46"/>
      <c r="AZ244" s="46"/>
      <c r="BA244" s="46"/>
      <c r="BB244" s="46"/>
      <c r="BC244" s="46"/>
    </row>
    <row r="245" ht="15.75" customHeight="1">
      <c r="A245" s="46"/>
      <c r="B245" s="59"/>
      <c r="C245" s="59"/>
      <c r="D245" s="59"/>
      <c r="E245" s="59"/>
      <c r="F245" s="59"/>
      <c r="G245" s="59"/>
      <c r="H245" s="59"/>
      <c r="I245" s="59"/>
      <c r="J245" s="59"/>
      <c r="K245" s="59"/>
      <c r="L245" s="59"/>
      <c r="M245" s="59"/>
      <c r="N245" s="59"/>
      <c r="O245" s="59"/>
      <c r="P245" s="59"/>
      <c r="Q245" s="59"/>
      <c r="R245" s="59"/>
      <c r="S245" s="59"/>
      <c r="T245" s="59"/>
      <c r="U245" s="59"/>
      <c r="V245" s="59"/>
      <c r="W245" s="59"/>
      <c r="X245" s="45"/>
      <c r="Y245" s="45"/>
      <c r="Z245" s="45"/>
      <c r="AA245" s="45"/>
      <c r="AB245" s="45"/>
      <c r="AC245" s="45"/>
      <c r="AD245" s="44"/>
      <c r="AE245" s="44"/>
      <c r="AF245" s="44"/>
      <c r="AG245" s="44"/>
      <c r="AH245" s="44"/>
      <c r="AI245" s="44"/>
      <c r="AJ245" s="44"/>
      <c r="AK245" s="44"/>
      <c r="AL245" s="44"/>
      <c r="AM245" s="44"/>
      <c r="AN245" s="44"/>
      <c r="AO245" s="44"/>
      <c r="AP245" s="44"/>
      <c r="AQ245" s="44"/>
      <c r="AR245" s="44"/>
      <c r="AS245" s="44"/>
      <c r="AT245" s="44"/>
      <c r="AU245" s="44"/>
      <c r="AV245" s="45"/>
      <c r="AW245" s="46"/>
      <c r="AX245" s="46"/>
      <c r="AY245" s="46"/>
      <c r="AZ245" s="46"/>
      <c r="BA245" s="46"/>
      <c r="BB245" s="46"/>
      <c r="BC245" s="46"/>
    </row>
    <row r="246" ht="15.75" customHeight="1">
      <c r="A246" s="46"/>
      <c r="B246" s="59"/>
      <c r="C246" s="59"/>
      <c r="D246" s="59"/>
      <c r="E246" s="59"/>
      <c r="F246" s="59"/>
      <c r="G246" s="59"/>
      <c r="H246" s="59"/>
      <c r="I246" s="59"/>
      <c r="J246" s="59"/>
      <c r="K246" s="59"/>
      <c r="L246" s="59"/>
      <c r="M246" s="59"/>
      <c r="N246" s="59"/>
      <c r="O246" s="59"/>
      <c r="P246" s="59"/>
      <c r="Q246" s="59"/>
      <c r="R246" s="59"/>
      <c r="S246" s="59"/>
      <c r="T246" s="59"/>
      <c r="U246" s="59"/>
      <c r="V246" s="59"/>
      <c r="W246" s="59"/>
      <c r="X246" s="45"/>
      <c r="Y246" s="45"/>
      <c r="Z246" s="45"/>
      <c r="AA246" s="45"/>
      <c r="AB246" s="45"/>
      <c r="AC246" s="45"/>
      <c r="AD246" s="44"/>
      <c r="AE246" s="44"/>
      <c r="AF246" s="44"/>
      <c r="AG246" s="44"/>
      <c r="AH246" s="44"/>
      <c r="AI246" s="44"/>
      <c r="AJ246" s="44"/>
      <c r="AK246" s="44"/>
      <c r="AL246" s="44"/>
      <c r="AM246" s="44"/>
      <c r="AN246" s="44"/>
      <c r="AO246" s="44"/>
      <c r="AP246" s="44"/>
      <c r="AQ246" s="44"/>
      <c r="AR246" s="44"/>
      <c r="AS246" s="44"/>
      <c r="AT246" s="44"/>
      <c r="AU246" s="44"/>
      <c r="AV246" s="45"/>
      <c r="AW246" s="46"/>
      <c r="AX246" s="46"/>
      <c r="AY246" s="46"/>
      <c r="AZ246" s="46"/>
      <c r="BA246" s="46"/>
      <c r="BB246" s="46"/>
      <c r="BC246" s="46"/>
    </row>
    <row r="247" ht="15.75" customHeight="1">
      <c r="A247" s="46"/>
      <c r="B247" s="59"/>
      <c r="C247" s="59"/>
      <c r="D247" s="59"/>
      <c r="E247" s="59"/>
      <c r="F247" s="59"/>
      <c r="G247" s="59"/>
      <c r="H247" s="59"/>
      <c r="I247" s="59"/>
      <c r="J247" s="59"/>
      <c r="K247" s="59"/>
      <c r="L247" s="59"/>
      <c r="M247" s="59"/>
      <c r="N247" s="59"/>
      <c r="O247" s="59"/>
      <c r="P247" s="59"/>
      <c r="Q247" s="59"/>
      <c r="R247" s="59"/>
      <c r="S247" s="59"/>
      <c r="T247" s="59"/>
      <c r="U247" s="59"/>
      <c r="V247" s="59"/>
      <c r="W247" s="59"/>
      <c r="X247" s="45"/>
      <c r="Y247" s="45"/>
      <c r="Z247" s="45"/>
      <c r="AA247" s="45"/>
      <c r="AB247" s="45"/>
      <c r="AC247" s="45"/>
      <c r="AD247" s="44"/>
      <c r="AE247" s="44"/>
      <c r="AF247" s="44"/>
      <c r="AG247" s="44"/>
      <c r="AH247" s="44"/>
      <c r="AI247" s="44"/>
      <c r="AJ247" s="44"/>
      <c r="AK247" s="44"/>
      <c r="AL247" s="44"/>
      <c r="AM247" s="44"/>
      <c r="AN247" s="44"/>
      <c r="AO247" s="44"/>
      <c r="AP247" s="44"/>
      <c r="AQ247" s="44"/>
      <c r="AR247" s="44"/>
      <c r="AS247" s="44"/>
      <c r="AT247" s="44"/>
      <c r="AU247" s="44"/>
      <c r="AV247" s="45"/>
      <c r="AW247" s="46"/>
      <c r="AX247" s="46"/>
      <c r="AY247" s="46"/>
      <c r="AZ247" s="46"/>
      <c r="BA247" s="46"/>
      <c r="BB247" s="46"/>
      <c r="BC247" s="46"/>
    </row>
    <row r="248" ht="15.75" customHeight="1">
      <c r="A248" s="46"/>
      <c r="B248" s="59"/>
      <c r="C248" s="59"/>
      <c r="D248" s="59"/>
      <c r="E248" s="59"/>
      <c r="F248" s="59"/>
      <c r="G248" s="59"/>
      <c r="H248" s="59"/>
      <c r="I248" s="59"/>
      <c r="J248" s="59"/>
      <c r="K248" s="59"/>
      <c r="L248" s="59"/>
      <c r="M248" s="59"/>
      <c r="N248" s="59"/>
      <c r="O248" s="59"/>
      <c r="P248" s="59"/>
      <c r="Q248" s="59"/>
      <c r="R248" s="59"/>
      <c r="S248" s="59"/>
      <c r="T248" s="59"/>
      <c r="U248" s="59"/>
      <c r="V248" s="59"/>
      <c r="W248" s="59"/>
      <c r="X248" s="45"/>
      <c r="Y248" s="45"/>
      <c r="Z248" s="45"/>
      <c r="AA248" s="45"/>
      <c r="AB248" s="45"/>
      <c r="AC248" s="45"/>
      <c r="AD248" s="44"/>
      <c r="AE248" s="44"/>
      <c r="AF248" s="44"/>
      <c r="AG248" s="44"/>
      <c r="AH248" s="44"/>
      <c r="AI248" s="44"/>
      <c r="AJ248" s="44"/>
      <c r="AK248" s="44"/>
      <c r="AL248" s="44"/>
      <c r="AM248" s="44"/>
      <c r="AN248" s="44"/>
      <c r="AO248" s="44"/>
      <c r="AP248" s="44"/>
      <c r="AQ248" s="44"/>
      <c r="AR248" s="44"/>
      <c r="AS248" s="44"/>
      <c r="AT248" s="44"/>
      <c r="AU248" s="44"/>
      <c r="AV248" s="45"/>
      <c r="AW248" s="46"/>
      <c r="AX248" s="46"/>
      <c r="AY248" s="46"/>
      <c r="AZ248" s="46"/>
      <c r="BA248" s="46"/>
      <c r="BB248" s="46"/>
      <c r="BC248" s="46"/>
    </row>
    <row r="249" ht="15.75" customHeight="1">
      <c r="A249" s="46"/>
      <c r="B249" s="59"/>
      <c r="C249" s="59"/>
      <c r="D249" s="59"/>
      <c r="E249" s="59"/>
      <c r="F249" s="59"/>
      <c r="G249" s="59"/>
      <c r="H249" s="59"/>
      <c r="I249" s="59"/>
      <c r="J249" s="59"/>
      <c r="K249" s="59"/>
      <c r="L249" s="59"/>
      <c r="M249" s="59"/>
      <c r="N249" s="59"/>
      <c r="O249" s="59"/>
      <c r="P249" s="59"/>
      <c r="Q249" s="59"/>
      <c r="R249" s="59"/>
      <c r="S249" s="59"/>
      <c r="T249" s="59"/>
      <c r="U249" s="59"/>
      <c r="V249" s="59"/>
      <c r="W249" s="59"/>
      <c r="X249" s="45"/>
      <c r="Y249" s="45"/>
      <c r="Z249" s="45"/>
      <c r="AA249" s="45"/>
      <c r="AB249" s="45"/>
      <c r="AC249" s="45"/>
      <c r="AD249" s="44"/>
      <c r="AE249" s="44"/>
      <c r="AF249" s="44"/>
      <c r="AG249" s="44"/>
      <c r="AH249" s="44"/>
      <c r="AI249" s="44"/>
      <c r="AJ249" s="44"/>
      <c r="AK249" s="44"/>
      <c r="AL249" s="44"/>
      <c r="AM249" s="44"/>
      <c r="AN249" s="44"/>
      <c r="AO249" s="44"/>
      <c r="AP249" s="44"/>
      <c r="AQ249" s="44"/>
      <c r="AR249" s="44"/>
      <c r="AS249" s="44"/>
      <c r="AT249" s="44"/>
      <c r="AU249" s="44"/>
      <c r="AV249" s="45"/>
      <c r="AW249" s="46"/>
      <c r="AX249" s="46"/>
      <c r="AY249" s="46"/>
      <c r="AZ249" s="46"/>
      <c r="BA249" s="46"/>
      <c r="BB249" s="46"/>
      <c r="BC249" s="46"/>
    </row>
    <row r="250" ht="15.75" customHeight="1">
      <c r="A250" s="46"/>
      <c r="B250" s="59"/>
      <c r="C250" s="59"/>
      <c r="D250" s="59"/>
      <c r="E250" s="59"/>
      <c r="F250" s="59"/>
      <c r="G250" s="59"/>
      <c r="H250" s="59"/>
      <c r="I250" s="59"/>
      <c r="J250" s="59"/>
      <c r="K250" s="59"/>
      <c r="L250" s="59"/>
      <c r="M250" s="59"/>
      <c r="N250" s="59"/>
      <c r="O250" s="59"/>
      <c r="P250" s="59"/>
      <c r="Q250" s="59"/>
      <c r="R250" s="59"/>
      <c r="S250" s="59"/>
      <c r="T250" s="59"/>
      <c r="U250" s="59"/>
      <c r="V250" s="59"/>
      <c r="W250" s="59"/>
      <c r="X250" s="45"/>
      <c r="Y250" s="45"/>
      <c r="Z250" s="45"/>
      <c r="AA250" s="45"/>
      <c r="AB250" s="45"/>
      <c r="AC250" s="45"/>
      <c r="AD250" s="44"/>
      <c r="AE250" s="44"/>
      <c r="AF250" s="44"/>
      <c r="AG250" s="44"/>
      <c r="AH250" s="44"/>
      <c r="AI250" s="44"/>
      <c r="AJ250" s="44"/>
      <c r="AK250" s="44"/>
      <c r="AL250" s="44"/>
      <c r="AM250" s="44"/>
      <c r="AN250" s="44"/>
      <c r="AO250" s="44"/>
      <c r="AP250" s="44"/>
      <c r="AQ250" s="44"/>
      <c r="AR250" s="44"/>
      <c r="AS250" s="44"/>
      <c r="AT250" s="44"/>
      <c r="AU250" s="44"/>
      <c r="AV250" s="45"/>
      <c r="AW250" s="46"/>
      <c r="AX250" s="46"/>
      <c r="AY250" s="46"/>
      <c r="AZ250" s="46"/>
      <c r="BA250" s="46"/>
      <c r="BB250" s="46"/>
      <c r="BC250" s="46"/>
    </row>
    <row r="251" ht="15.75" customHeight="1">
      <c r="A251" s="46"/>
      <c r="B251" s="59"/>
      <c r="C251" s="59"/>
      <c r="D251" s="59"/>
      <c r="E251" s="59"/>
      <c r="F251" s="59"/>
      <c r="G251" s="59"/>
      <c r="H251" s="59"/>
      <c r="I251" s="59"/>
      <c r="J251" s="59"/>
      <c r="K251" s="59"/>
      <c r="L251" s="59"/>
      <c r="M251" s="59"/>
      <c r="N251" s="59"/>
      <c r="O251" s="59"/>
      <c r="P251" s="59"/>
      <c r="Q251" s="59"/>
      <c r="R251" s="59"/>
      <c r="S251" s="59"/>
      <c r="T251" s="59"/>
      <c r="U251" s="59"/>
      <c r="V251" s="59"/>
      <c r="W251" s="59"/>
      <c r="X251" s="45"/>
      <c r="Y251" s="45"/>
      <c r="Z251" s="45"/>
      <c r="AA251" s="45"/>
      <c r="AB251" s="45"/>
      <c r="AC251" s="45"/>
      <c r="AD251" s="44"/>
      <c r="AE251" s="44"/>
      <c r="AF251" s="44"/>
      <c r="AG251" s="44"/>
      <c r="AH251" s="44"/>
      <c r="AI251" s="44"/>
      <c r="AJ251" s="44"/>
      <c r="AK251" s="44"/>
      <c r="AL251" s="44"/>
      <c r="AM251" s="44"/>
      <c r="AN251" s="44"/>
      <c r="AO251" s="44"/>
      <c r="AP251" s="44"/>
      <c r="AQ251" s="44"/>
      <c r="AR251" s="44"/>
      <c r="AS251" s="44"/>
      <c r="AT251" s="44"/>
      <c r="AU251" s="44"/>
      <c r="AV251" s="45"/>
      <c r="AW251" s="46"/>
      <c r="AX251" s="46"/>
      <c r="AY251" s="46"/>
      <c r="AZ251" s="46"/>
      <c r="BA251" s="46"/>
      <c r="BB251" s="46"/>
      <c r="BC251" s="46"/>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P6"/>
    <hyperlink r:id="rId2" ref="Q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2"/>
  <cols>
    <col customWidth="1" min="1" max="1" width="4.57"/>
    <col customWidth="1" min="2" max="2" width="4.86"/>
    <col customWidth="1" min="3" max="3" width="14.43"/>
    <col customWidth="1" min="4" max="5" width="25.14"/>
    <col customWidth="1" min="6" max="6" width="23.29"/>
    <col customWidth="1" min="7" max="7" width="69.0"/>
  </cols>
  <sheetData>
    <row r="1" ht="15.75" customHeight="1">
      <c r="A1" s="6">
        <v>0.0</v>
      </c>
      <c r="B1" s="6"/>
      <c r="C1" s="6"/>
      <c r="D1" s="9"/>
      <c r="E1" s="9"/>
      <c r="F1" s="11" t="s">
        <v>1</v>
      </c>
      <c r="G1" s="11" t="s">
        <v>2</v>
      </c>
      <c r="H1" s="14">
        <v>43282.0</v>
      </c>
      <c r="I1" s="14">
        <v>43313.0</v>
      </c>
      <c r="J1" s="14">
        <v>43344.0</v>
      </c>
      <c r="K1" s="14">
        <v>43374.0</v>
      </c>
      <c r="L1" s="14">
        <v>43405.0</v>
      </c>
      <c r="M1" s="14">
        <v>43435.0</v>
      </c>
      <c r="N1" s="6"/>
      <c r="O1" s="6"/>
      <c r="P1" s="6"/>
      <c r="Q1" s="6"/>
      <c r="R1" s="6"/>
      <c r="S1" s="6"/>
      <c r="T1" s="6"/>
      <c r="U1" s="6"/>
      <c r="V1" s="6"/>
      <c r="W1" s="6"/>
      <c r="X1" s="6"/>
      <c r="Y1" s="6"/>
      <c r="Z1" s="6"/>
      <c r="AA1" s="6"/>
      <c r="AB1" s="6"/>
      <c r="AC1" s="6"/>
    </row>
    <row r="2" ht="15.75" customHeight="1">
      <c r="A2" s="6" t="s">
        <v>15</v>
      </c>
      <c r="D2" s="19"/>
      <c r="E2" s="19"/>
      <c r="F2" s="21"/>
      <c r="G2" s="21"/>
    </row>
    <row r="3" ht="15.75" customHeight="1">
      <c r="A3" s="6"/>
      <c r="B3" s="15" t="s">
        <v>20</v>
      </c>
      <c r="D3" s="19"/>
      <c r="E3" s="19"/>
      <c r="F3" s="21" t="s">
        <v>21</v>
      </c>
      <c r="G3" s="21" t="s">
        <v>23</v>
      </c>
      <c r="H3" s="23" t="s">
        <v>24</v>
      </c>
    </row>
    <row r="4" ht="15.75" customHeight="1">
      <c r="A4" s="6"/>
      <c r="B4" s="15" t="s">
        <v>26</v>
      </c>
      <c r="D4" s="19"/>
      <c r="E4" s="19"/>
      <c r="F4" s="21" t="s">
        <v>28</v>
      </c>
      <c r="G4" s="21" t="s">
        <v>30</v>
      </c>
      <c r="N4" s="15" t="s">
        <v>24</v>
      </c>
    </row>
    <row r="5" ht="15.75" customHeight="1">
      <c r="A5" s="6"/>
      <c r="B5" s="15" t="s">
        <v>31</v>
      </c>
      <c r="D5" s="19"/>
      <c r="E5" s="19"/>
      <c r="F5" s="21" t="s">
        <v>32</v>
      </c>
      <c r="G5" s="21"/>
      <c r="N5" s="15" t="s">
        <v>24</v>
      </c>
    </row>
    <row r="6" ht="15.75" customHeight="1">
      <c r="A6" s="6"/>
      <c r="B6" s="15" t="s">
        <v>34</v>
      </c>
      <c r="D6" s="19"/>
      <c r="E6" s="19"/>
      <c r="F6" s="21" t="s">
        <v>21</v>
      </c>
      <c r="G6" s="21" t="s">
        <v>36</v>
      </c>
      <c r="I6" s="15"/>
      <c r="J6" s="15" t="s">
        <v>24</v>
      </c>
    </row>
    <row r="7" ht="15.75" customHeight="1">
      <c r="A7" s="6"/>
      <c r="B7" s="15" t="s">
        <v>38</v>
      </c>
      <c r="D7" s="19"/>
      <c r="E7" s="19"/>
      <c r="F7" s="21" t="s">
        <v>28</v>
      </c>
      <c r="G7" s="21"/>
      <c r="L7" s="15" t="s">
        <v>24</v>
      </c>
    </row>
    <row r="8" ht="15.75" customHeight="1">
      <c r="A8" s="6"/>
      <c r="B8" s="15"/>
      <c r="C8" s="15" t="s">
        <v>41</v>
      </c>
      <c r="D8" s="19"/>
      <c r="E8" s="19"/>
      <c r="F8" s="21"/>
      <c r="G8" s="28" t="s">
        <v>43</v>
      </c>
    </row>
    <row r="9" ht="15.75" customHeight="1">
      <c r="A9" s="6"/>
      <c r="B9" s="15"/>
      <c r="C9" s="15" t="s">
        <v>46</v>
      </c>
      <c r="D9" s="19"/>
      <c r="E9" s="19"/>
      <c r="F9" s="21"/>
      <c r="G9" s="28" t="s">
        <v>47</v>
      </c>
    </row>
    <row r="10" ht="15.75" customHeight="1">
      <c r="A10" s="6"/>
      <c r="B10" s="15"/>
      <c r="C10" s="15" t="s">
        <v>49</v>
      </c>
      <c r="D10" s="19"/>
      <c r="E10" s="19"/>
      <c r="F10" s="21"/>
      <c r="G10" s="28" t="s">
        <v>50</v>
      </c>
    </row>
    <row r="11" ht="15.75" customHeight="1">
      <c r="A11" s="6"/>
      <c r="B11" s="15"/>
      <c r="C11" s="15" t="s">
        <v>53</v>
      </c>
      <c r="D11" s="19"/>
      <c r="E11" s="19"/>
      <c r="F11" s="21"/>
      <c r="G11" s="28" t="s">
        <v>55</v>
      </c>
    </row>
    <row r="12" ht="15.75" customHeight="1">
      <c r="A12" s="6"/>
      <c r="B12" s="30" t="s">
        <v>58</v>
      </c>
      <c r="D12" s="19"/>
      <c r="E12" s="19"/>
      <c r="F12" s="21" t="s">
        <v>32</v>
      </c>
      <c r="G12" s="21" t="s">
        <v>61</v>
      </c>
      <c r="K12" s="15" t="s">
        <v>24</v>
      </c>
    </row>
    <row r="13" ht="15.75" customHeight="1">
      <c r="A13" s="6"/>
      <c r="B13" s="16" t="s">
        <v>64</v>
      </c>
      <c r="D13" s="19"/>
      <c r="E13" s="19"/>
      <c r="F13" s="21" t="s">
        <v>32</v>
      </c>
      <c r="G13" s="21" t="s">
        <v>66</v>
      </c>
      <c r="K13" s="15" t="s">
        <v>24</v>
      </c>
    </row>
    <row r="14" ht="15.75" customHeight="1">
      <c r="A14" s="6"/>
      <c r="B14" s="30" t="s">
        <v>70</v>
      </c>
      <c r="D14" s="19"/>
      <c r="E14" s="19"/>
      <c r="F14" s="21" t="s">
        <v>32</v>
      </c>
      <c r="G14" s="21" t="s">
        <v>73</v>
      </c>
      <c r="J14" s="23" t="s">
        <v>75</v>
      </c>
    </row>
    <row r="15" ht="15.75" customHeight="1">
      <c r="A15" s="6"/>
      <c r="B15" s="15" t="s">
        <v>77</v>
      </c>
      <c r="D15" s="19"/>
      <c r="E15" s="19"/>
      <c r="F15" s="21" t="s">
        <v>79</v>
      </c>
      <c r="G15" s="21" t="s">
        <v>81</v>
      </c>
      <c r="K15" s="15" t="s">
        <v>24</v>
      </c>
    </row>
    <row r="16" ht="15.75" customHeight="1">
      <c r="A16" s="6"/>
      <c r="D16" s="19"/>
      <c r="E16" s="19"/>
      <c r="F16" s="21"/>
      <c r="G16" s="21"/>
    </row>
    <row r="17" ht="15.75" customHeight="1">
      <c r="A17" s="6" t="s">
        <v>83</v>
      </c>
      <c r="D17" s="19"/>
      <c r="E17" s="19"/>
      <c r="F17" s="21"/>
      <c r="G17" s="21"/>
    </row>
    <row r="18" ht="15.75" customHeight="1">
      <c r="A18" s="6"/>
      <c r="B18" s="15" t="s">
        <v>86</v>
      </c>
      <c r="D18" s="19"/>
      <c r="E18" s="19"/>
      <c r="F18" s="21"/>
      <c r="G18" s="21"/>
      <c r="H18" s="23"/>
    </row>
    <row r="19" ht="15.75" customHeight="1">
      <c r="A19" s="6"/>
      <c r="B19" s="15" t="s">
        <v>90</v>
      </c>
      <c r="D19" s="19"/>
      <c r="E19" s="19"/>
      <c r="F19" s="21" t="s">
        <v>92</v>
      </c>
      <c r="G19" s="21"/>
      <c r="H19" s="23" t="s">
        <v>75</v>
      </c>
      <c r="K19" s="15" t="s">
        <v>24</v>
      </c>
    </row>
    <row r="20" ht="15.75" customHeight="1">
      <c r="A20" s="6"/>
      <c r="B20" s="30" t="s">
        <v>94</v>
      </c>
      <c r="D20" s="19"/>
      <c r="E20" s="19"/>
      <c r="F20" s="21" t="s">
        <v>92</v>
      </c>
      <c r="G20" s="21"/>
      <c r="K20" s="15" t="s">
        <v>24</v>
      </c>
    </row>
    <row r="21" ht="15.75" customHeight="1">
      <c r="A21" s="6"/>
      <c r="B21" s="30" t="s">
        <v>95</v>
      </c>
      <c r="D21" s="19"/>
      <c r="E21" s="19"/>
      <c r="F21" s="21" t="s">
        <v>92</v>
      </c>
      <c r="G21" s="21" t="s">
        <v>97</v>
      </c>
      <c r="L21" s="15" t="s">
        <v>24</v>
      </c>
    </row>
    <row r="22" ht="15.75" customHeight="1">
      <c r="A22" s="6"/>
      <c r="B22" s="15" t="s">
        <v>100</v>
      </c>
      <c r="D22" s="19"/>
      <c r="E22" s="19"/>
      <c r="F22" s="21" t="s">
        <v>32</v>
      </c>
      <c r="G22" s="21" t="s">
        <v>102</v>
      </c>
      <c r="N22" s="15" t="s">
        <v>24</v>
      </c>
    </row>
    <row r="23" ht="15.75" customHeight="1">
      <c r="A23" s="6"/>
      <c r="B23" s="15" t="s">
        <v>106</v>
      </c>
      <c r="D23" s="19"/>
      <c r="E23" s="19"/>
      <c r="F23" s="21" t="s">
        <v>32</v>
      </c>
      <c r="G23" s="21" t="s">
        <v>108</v>
      </c>
      <c r="I23" s="23"/>
      <c r="N23" s="15" t="s">
        <v>24</v>
      </c>
    </row>
    <row r="24" ht="15.75" customHeight="1">
      <c r="A24" s="39" t="s">
        <v>110</v>
      </c>
      <c r="B24" s="40"/>
      <c r="C24" s="40"/>
      <c r="D24" s="41" t="s">
        <v>111</v>
      </c>
      <c r="E24" s="41" t="s">
        <v>112</v>
      </c>
      <c r="F24" s="42"/>
      <c r="G24" s="21"/>
    </row>
    <row r="25" ht="15.75" customHeight="1">
      <c r="A25" s="6" t="s">
        <v>115</v>
      </c>
      <c r="D25" s="19"/>
      <c r="E25" s="19"/>
      <c r="F25" s="21"/>
      <c r="G25" s="21"/>
    </row>
    <row r="26" ht="15.75" customHeight="1">
      <c r="A26" s="6">
        <f t="shared" ref="A26:A36" si="1">D26+E26</f>
        <v>5</v>
      </c>
      <c r="B26" s="30" t="s">
        <v>117</v>
      </c>
      <c r="D26" s="6">
        <v>3.0</v>
      </c>
      <c r="E26" s="19">
        <v>2.0</v>
      </c>
      <c r="F26" s="21" t="s">
        <v>32</v>
      </c>
      <c r="G26" s="21" t="s">
        <v>119</v>
      </c>
      <c r="J26" s="15" t="s">
        <v>24</v>
      </c>
    </row>
    <row r="27" ht="15.75" customHeight="1">
      <c r="A27" s="6">
        <f t="shared" si="1"/>
        <v>6</v>
      </c>
      <c r="B27" s="30" t="s">
        <v>121</v>
      </c>
      <c r="D27" s="6">
        <v>3.0</v>
      </c>
      <c r="E27" s="19">
        <v>3.0</v>
      </c>
      <c r="F27" s="21" t="s">
        <v>32</v>
      </c>
      <c r="G27" s="21" t="s">
        <v>122</v>
      </c>
      <c r="J27" s="15" t="s">
        <v>24</v>
      </c>
    </row>
    <row r="28" ht="15.75" customHeight="1">
      <c r="A28" s="15">
        <f t="shared" si="1"/>
        <v>3</v>
      </c>
      <c r="B28" s="6" t="s">
        <v>123</v>
      </c>
      <c r="D28" s="6">
        <v>2.0</v>
      </c>
      <c r="E28" s="19">
        <v>1.0</v>
      </c>
      <c r="F28" s="21" t="s">
        <v>32</v>
      </c>
      <c r="G28" s="21" t="s">
        <v>124</v>
      </c>
      <c r="L28" s="15" t="s">
        <v>24</v>
      </c>
    </row>
    <row r="29" ht="15.75" customHeight="1">
      <c r="A29" s="15">
        <f t="shared" si="1"/>
        <v>3</v>
      </c>
      <c r="B29" s="6" t="s">
        <v>126</v>
      </c>
      <c r="D29" s="6">
        <v>2.0</v>
      </c>
      <c r="E29" s="19">
        <v>1.0</v>
      </c>
      <c r="F29" s="21" t="s">
        <v>32</v>
      </c>
      <c r="G29" s="21" t="s">
        <v>127</v>
      </c>
      <c r="L29" s="15" t="s">
        <v>24</v>
      </c>
    </row>
    <row r="30" ht="15.75" customHeight="1">
      <c r="A30" s="15">
        <f t="shared" si="1"/>
        <v>3</v>
      </c>
      <c r="B30" s="15" t="s">
        <v>129</v>
      </c>
      <c r="D30" s="6">
        <v>1.0</v>
      </c>
      <c r="E30" s="19">
        <v>2.0</v>
      </c>
      <c r="F30" s="21" t="s">
        <v>32</v>
      </c>
      <c r="G30" s="21" t="s">
        <v>124</v>
      </c>
      <c r="L30" s="15" t="s">
        <v>24</v>
      </c>
    </row>
    <row r="31" ht="15.75" customHeight="1">
      <c r="A31" s="15">
        <f t="shared" si="1"/>
        <v>4</v>
      </c>
      <c r="B31" s="15" t="s">
        <v>130</v>
      </c>
      <c r="D31" s="6">
        <v>1.0</v>
      </c>
      <c r="E31" s="19">
        <v>3.0</v>
      </c>
      <c r="F31" s="21" t="s">
        <v>32</v>
      </c>
      <c r="G31" s="21" t="s">
        <v>124</v>
      </c>
      <c r="L31" s="15" t="s">
        <v>24</v>
      </c>
    </row>
    <row r="32" ht="15.75" customHeight="1">
      <c r="A32" s="15">
        <f t="shared" si="1"/>
        <v>2</v>
      </c>
      <c r="B32" s="6" t="s">
        <v>131</v>
      </c>
      <c r="D32" s="6">
        <v>1.0</v>
      </c>
      <c r="E32" s="19">
        <v>1.0</v>
      </c>
      <c r="F32" s="21" t="s">
        <v>32</v>
      </c>
      <c r="G32" s="21" t="s">
        <v>133</v>
      </c>
      <c r="L32" s="15" t="s">
        <v>24</v>
      </c>
    </row>
    <row r="33" ht="15.75" customHeight="1">
      <c r="A33" s="6">
        <f t="shared" si="1"/>
        <v>5</v>
      </c>
      <c r="B33" s="30" t="s">
        <v>135</v>
      </c>
      <c r="D33" s="6">
        <v>3.0</v>
      </c>
      <c r="E33" s="19">
        <v>2.0</v>
      </c>
      <c r="F33" s="21" t="s">
        <v>32</v>
      </c>
      <c r="G33" s="21" t="s">
        <v>137</v>
      </c>
      <c r="J33" s="15" t="s">
        <v>24</v>
      </c>
    </row>
    <row r="34" ht="15.75" customHeight="1">
      <c r="A34" s="15">
        <f t="shared" si="1"/>
        <v>2</v>
      </c>
      <c r="B34" s="15" t="s">
        <v>138</v>
      </c>
      <c r="D34" s="6">
        <v>1.0</v>
      </c>
      <c r="E34" s="19">
        <v>1.0</v>
      </c>
      <c r="F34" s="21" t="s">
        <v>32</v>
      </c>
      <c r="G34" s="21" t="s">
        <v>139</v>
      </c>
      <c r="N34" s="15" t="s">
        <v>24</v>
      </c>
    </row>
    <row r="35" ht="15.75" customHeight="1">
      <c r="A35" s="6">
        <f t="shared" si="1"/>
        <v>3</v>
      </c>
      <c r="B35" s="15" t="s">
        <v>145</v>
      </c>
      <c r="D35" s="6">
        <v>2.0</v>
      </c>
      <c r="E35" s="19">
        <v>1.0</v>
      </c>
      <c r="F35" s="21" t="s">
        <v>32</v>
      </c>
      <c r="G35" s="21" t="s">
        <v>124</v>
      </c>
      <c r="N35" s="15" t="s">
        <v>24</v>
      </c>
    </row>
    <row r="36" ht="15.75" customHeight="1">
      <c r="A36" s="15">
        <f t="shared" si="1"/>
        <v>1</v>
      </c>
      <c r="B36" s="15" t="s">
        <v>148</v>
      </c>
      <c r="D36" s="6">
        <v>1.0</v>
      </c>
      <c r="E36" s="19">
        <v>0.0</v>
      </c>
      <c r="F36" s="21" t="s">
        <v>32</v>
      </c>
      <c r="G36" s="21" t="s">
        <v>119</v>
      </c>
      <c r="N36" s="15" t="s">
        <v>24</v>
      </c>
    </row>
    <row r="37" ht="15.75" customHeight="1">
      <c r="A37" s="6"/>
      <c r="B37" s="15" t="s">
        <v>151</v>
      </c>
      <c r="D37" s="19"/>
      <c r="E37" s="19"/>
      <c r="F37" s="21"/>
      <c r="G37" s="21"/>
    </row>
    <row r="38" ht="15.75" customHeight="1">
      <c r="A38" s="6"/>
      <c r="B38" s="48" t="s">
        <v>155</v>
      </c>
      <c r="D38" s="19"/>
      <c r="E38" s="19"/>
      <c r="F38" s="21"/>
      <c r="G38" s="21"/>
    </row>
    <row r="39" ht="15.75" customHeight="1">
      <c r="A39" s="6"/>
      <c r="D39" s="19"/>
      <c r="E39" s="19"/>
      <c r="F39" s="21"/>
      <c r="G39" s="21"/>
    </row>
    <row r="40" ht="15.75" customHeight="1">
      <c r="A40" s="6"/>
      <c r="D40" s="19"/>
      <c r="E40" s="19"/>
      <c r="F40" s="21"/>
      <c r="G40" s="21"/>
    </row>
    <row r="41" ht="15.75" customHeight="1">
      <c r="A41" s="6"/>
      <c r="D41" s="19"/>
      <c r="E41" s="19"/>
      <c r="F41" s="21"/>
      <c r="G41" s="21"/>
    </row>
    <row r="42" ht="15.75" customHeight="1">
      <c r="A42" s="6" t="s">
        <v>185</v>
      </c>
      <c r="D42" s="19"/>
      <c r="E42" s="19"/>
      <c r="F42" s="21"/>
      <c r="G42" s="21"/>
    </row>
    <row r="43" ht="15.75" customHeight="1">
      <c r="A43" s="6"/>
      <c r="B43" s="15" t="s">
        <v>189</v>
      </c>
      <c r="D43" s="19"/>
      <c r="E43" s="19"/>
      <c r="F43" s="21" t="s">
        <v>192</v>
      </c>
      <c r="G43" s="21"/>
      <c r="M43" s="15" t="s">
        <v>24</v>
      </c>
    </row>
    <row r="44" ht="15.75" customHeight="1">
      <c r="A44" s="6"/>
      <c r="B44" s="15" t="s">
        <v>194</v>
      </c>
      <c r="D44" s="19"/>
      <c r="E44" s="19"/>
      <c r="F44" s="21" t="s">
        <v>196</v>
      </c>
      <c r="G44" s="21"/>
      <c r="M44" s="15" t="s">
        <v>24</v>
      </c>
    </row>
    <row r="45" ht="15.75" customHeight="1">
      <c r="A45" s="6"/>
      <c r="B45" s="15" t="s">
        <v>199</v>
      </c>
      <c r="D45" s="19"/>
      <c r="E45" s="19"/>
      <c r="F45" s="21" t="s">
        <v>196</v>
      </c>
      <c r="G45" s="21"/>
      <c r="M45" s="15" t="s">
        <v>24</v>
      </c>
    </row>
    <row r="46" ht="15.75" customHeight="1">
      <c r="A46" s="6"/>
      <c r="B46" s="15" t="s">
        <v>145</v>
      </c>
      <c r="D46" s="19"/>
      <c r="E46" s="19"/>
      <c r="F46" s="21" t="s">
        <v>196</v>
      </c>
      <c r="G46" s="21"/>
      <c r="M46" s="15" t="s">
        <v>24</v>
      </c>
    </row>
    <row r="47" ht="15.75" customHeight="1">
      <c r="A47" s="6"/>
      <c r="B47" s="15" t="s">
        <v>202</v>
      </c>
      <c r="D47" s="19"/>
      <c r="E47" s="19"/>
      <c r="F47" s="21" t="s">
        <v>196</v>
      </c>
      <c r="G47" s="21"/>
      <c r="M47" s="15" t="s">
        <v>24</v>
      </c>
    </row>
    <row r="48" ht="15.75" customHeight="1">
      <c r="A48" s="6"/>
      <c r="B48" s="15" t="s">
        <v>205</v>
      </c>
      <c r="D48" s="19"/>
      <c r="E48" s="19"/>
      <c r="F48" s="21"/>
      <c r="G48" s="21"/>
    </row>
    <row r="49" ht="15.75" customHeight="1">
      <c r="A49" s="6"/>
      <c r="B49" s="15" t="s">
        <v>209</v>
      </c>
      <c r="D49" s="19"/>
      <c r="E49" s="19"/>
      <c r="F49" s="21"/>
      <c r="G49" s="21"/>
    </row>
    <row r="50" ht="15.75" customHeight="1">
      <c r="A50" s="6"/>
      <c r="D50" s="19"/>
      <c r="E50" s="19"/>
      <c r="F50" s="21"/>
      <c r="G50" s="21"/>
    </row>
    <row r="51" ht="15.75" customHeight="1">
      <c r="A51" s="6"/>
      <c r="D51" s="19"/>
      <c r="E51" s="19"/>
      <c r="F51" s="21"/>
      <c r="G51" s="21"/>
    </row>
    <row r="52" ht="15.75" customHeight="1">
      <c r="A52" s="6" t="s">
        <v>211</v>
      </c>
      <c r="D52" s="19"/>
      <c r="E52" s="19"/>
      <c r="F52" s="21"/>
      <c r="G52" s="21"/>
    </row>
    <row r="53" ht="15.75" customHeight="1">
      <c r="A53" s="6"/>
      <c r="B53" s="15" t="s">
        <v>212</v>
      </c>
      <c r="D53" s="19"/>
      <c r="E53" s="19"/>
      <c r="F53" s="21" t="s">
        <v>211</v>
      </c>
      <c r="G53" s="21" t="s">
        <v>214</v>
      </c>
      <c r="N53" s="15" t="s">
        <v>24</v>
      </c>
    </row>
    <row r="54" ht="15.75" customHeight="1">
      <c r="A54" s="6"/>
      <c r="B54" s="15" t="s">
        <v>215</v>
      </c>
      <c r="D54" s="19"/>
      <c r="E54" s="19"/>
      <c r="F54" s="21" t="s">
        <v>211</v>
      </c>
      <c r="G54" s="21"/>
      <c r="J54" s="15" t="s">
        <v>24</v>
      </c>
    </row>
    <row r="55" ht="15.75" customHeight="1">
      <c r="A55" s="6"/>
      <c r="D55" s="19"/>
      <c r="E55" s="19"/>
      <c r="F55" s="21"/>
      <c r="G55" s="21"/>
    </row>
    <row r="56" ht="15.75" customHeight="1">
      <c r="A56" s="6"/>
      <c r="D56" s="19"/>
      <c r="E56" s="19"/>
      <c r="F56" s="21"/>
      <c r="G56" s="21"/>
    </row>
    <row r="57" ht="15.75" customHeight="1">
      <c r="A57" s="6" t="s">
        <v>218</v>
      </c>
      <c r="D57" s="19"/>
      <c r="E57" s="19"/>
      <c r="F57" s="21"/>
      <c r="G57" s="21"/>
    </row>
    <row r="58" ht="15.75" customHeight="1">
      <c r="A58" s="6"/>
      <c r="B58" s="15" t="s">
        <v>223</v>
      </c>
      <c r="D58" s="19"/>
      <c r="E58" s="19"/>
      <c r="F58" s="21" t="s">
        <v>192</v>
      </c>
      <c r="G58" s="21" t="s">
        <v>225</v>
      </c>
      <c r="J58" s="15" t="s">
        <v>24</v>
      </c>
    </row>
    <row r="59" ht="15.75" customHeight="1">
      <c r="A59" s="6"/>
      <c r="B59" s="15" t="s">
        <v>228</v>
      </c>
      <c r="D59" s="19"/>
      <c r="E59" s="19"/>
      <c r="F59" s="21" t="s">
        <v>192</v>
      </c>
      <c r="G59" s="21"/>
      <c r="L59" s="15" t="s">
        <v>24</v>
      </c>
    </row>
    <row r="60" ht="15.75" customHeight="1">
      <c r="A60" s="6"/>
      <c r="D60" s="19"/>
      <c r="E60" s="19"/>
      <c r="F60" s="21"/>
      <c r="G60" s="21"/>
    </row>
    <row r="61" ht="15.75" customHeight="1">
      <c r="A61" s="6"/>
      <c r="D61" s="19"/>
      <c r="E61" s="19"/>
      <c r="F61" s="21"/>
      <c r="G61" s="21"/>
    </row>
    <row r="62" ht="15.75" customHeight="1">
      <c r="A62" s="6"/>
      <c r="D62" s="19"/>
      <c r="E62" s="19"/>
      <c r="F62" s="21"/>
      <c r="G62" s="21"/>
    </row>
    <row r="63" ht="15.75" customHeight="1">
      <c r="A63" s="6" t="s">
        <v>230</v>
      </c>
      <c r="D63" s="19"/>
      <c r="E63" s="19"/>
      <c r="F63" s="21"/>
      <c r="G63" s="21"/>
    </row>
    <row r="64" ht="15.75" customHeight="1">
      <c r="A64" s="6"/>
      <c r="B64" s="15" t="s">
        <v>233</v>
      </c>
      <c r="D64" s="19"/>
      <c r="E64" s="19"/>
      <c r="F64" s="21" t="s">
        <v>92</v>
      </c>
      <c r="G64" s="21"/>
      <c r="N64" s="15" t="s">
        <v>24</v>
      </c>
    </row>
    <row r="65" ht="15.75" customHeight="1">
      <c r="A65" s="6"/>
      <c r="B65" s="15" t="s">
        <v>238</v>
      </c>
      <c r="D65" s="19"/>
      <c r="E65" s="19"/>
      <c r="F65" s="21" t="s">
        <v>32</v>
      </c>
      <c r="G65" s="21"/>
      <c r="H65" s="23"/>
      <c r="K65" s="15" t="s">
        <v>24</v>
      </c>
    </row>
    <row r="66" ht="15.75" customHeight="1">
      <c r="A66" s="6"/>
      <c r="B66" s="15" t="s">
        <v>240</v>
      </c>
      <c r="D66" s="19"/>
      <c r="E66" s="19"/>
      <c r="F66" s="21" t="s">
        <v>32</v>
      </c>
      <c r="G66" s="21"/>
      <c r="M66" s="15" t="s">
        <v>24</v>
      </c>
    </row>
    <row r="67" ht="15.75" customHeight="1">
      <c r="A67" s="6"/>
      <c r="D67" s="19"/>
      <c r="E67" s="19"/>
      <c r="F67" s="21"/>
      <c r="G67" s="21"/>
    </row>
    <row r="68" ht="15.75" customHeight="1">
      <c r="A68" s="6"/>
      <c r="D68" s="19"/>
      <c r="E68" s="19"/>
      <c r="F68" s="21"/>
      <c r="G68" s="21"/>
    </row>
    <row r="69" ht="15.75" customHeight="1">
      <c r="A69" s="6"/>
      <c r="D69" s="19"/>
      <c r="E69" s="19"/>
      <c r="F69" s="21"/>
      <c r="G69" s="21"/>
    </row>
    <row r="70" ht="15.75" customHeight="1">
      <c r="A70" s="6"/>
      <c r="D70" s="19"/>
      <c r="E70" s="19"/>
      <c r="F70" s="21"/>
      <c r="G70" s="21"/>
    </row>
    <row r="71" ht="15.75" customHeight="1">
      <c r="A71" s="6"/>
      <c r="D71" s="19"/>
      <c r="E71" s="19"/>
      <c r="F71" s="21"/>
      <c r="G71" s="21"/>
    </row>
    <row r="72" ht="15.75" customHeight="1">
      <c r="A72" s="6"/>
      <c r="D72" s="19"/>
      <c r="E72" s="19"/>
      <c r="F72" s="21"/>
      <c r="G72" s="21"/>
    </row>
    <row r="73" ht="15.75" customHeight="1">
      <c r="A73" s="6"/>
      <c r="D73" s="19"/>
      <c r="E73" s="19"/>
      <c r="F73" s="21"/>
      <c r="G73" s="21"/>
    </row>
    <row r="74" ht="15.75" customHeight="1">
      <c r="A74" s="6"/>
      <c r="D74" s="19"/>
      <c r="E74" s="19"/>
      <c r="F74" s="21"/>
      <c r="G74" s="21"/>
    </row>
    <row r="75" ht="15.75" customHeight="1">
      <c r="A75" s="6"/>
      <c r="D75" s="19"/>
      <c r="E75" s="19"/>
      <c r="F75" s="21"/>
      <c r="G75" s="21"/>
    </row>
    <row r="76" ht="15.75" customHeight="1">
      <c r="A76" s="6"/>
      <c r="D76" s="19"/>
      <c r="E76" s="19"/>
      <c r="F76" s="21"/>
      <c r="G76" s="21"/>
    </row>
    <row r="77" ht="15.75" customHeight="1">
      <c r="A77" s="6"/>
      <c r="D77" s="19"/>
      <c r="E77" s="19"/>
      <c r="F77" s="21"/>
      <c r="G77" s="21"/>
    </row>
    <row r="78" ht="15.75" customHeight="1">
      <c r="A78" s="6"/>
      <c r="D78" s="19"/>
      <c r="E78" s="19"/>
      <c r="F78" s="21"/>
      <c r="G78" s="21"/>
    </row>
    <row r="79" ht="15.75" customHeight="1">
      <c r="A79" s="6"/>
      <c r="D79" s="19"/>
      <c r="E79" s="19"/>
      <c r="F79" s="21"/>
      <c r="G79" s="21"/>
    </row>
    <row r="80" ht="15.75" customHeight="1">
      <c r="A80" s="6"/>
      <c r="D80" s="19"/>
      <c r="E80" s="19"/>
      <c r="F80" s="21"/>
      <c r="G80" s="21"/>
    </row>
    <row r="81" ht="15.75" customHeight="1">
      <c r="A81" s="6"/>
      <c r="D81" s="19"/>
      <c r="E81" s="19"/>
      <c r="F81" s="21"/>
      <c r="G81" s="21"/>
    </row>
    <row r="82" ht="15.75" customHeight="1">
      <c r="A82" s="6"/>
      <c r="D82" s="19"/>
      <c r="E82" s="19"/>
      <c r="F82" s="21"/>
      <c r="G82" s="21"/>
    </row>
    <row r="83" ht="15.75" customHeight="1">
      <c r="A83" s="6"/>
      <c r="D83" s="19"/>
      <c r="E83" s="19"/>
      <c r="F83" s="21"/>
      <c r="G83" s="21"/>
    </row>
    <row r="84" ht="15.75" customHeight="1">
      <c r="A84" s="6"/>
      <c r="D84" s="19"/>
      <c r="E84" s="19"/>
      <c r="F84" s="21"/>
      <c r="G84" s="21"/>
    </row>
    <row r="85" ht="15.75" customHeight="1">
      <c r="A85" s="6"/>
      <c r="D85" s="19"/>
      <c r="E85" s="19"/>
      <c r="F85" s="21"/>
      <c r="G85" s="21"/>
    </row>
    <row r="86" ht="15.75" customHeight="1">
      <c r="A86" s="6"/>
      <c r="D86" s="19"/>
      <c r="E86" s="19"/>
      <c r="F86" s="21"/>
      <c r="G86" s="21"/>
    </row>
    <row r="87" ht="15.75" customHeight="1">
      <c r="A87" s="6"/>
      <c r="D87" s="19"/>
      <c r="E87" s="19"/>
      <c r="F87" s="21"/>
      <c r="G87" s="21"/>
    </row>
    <row r="88" ht="15.75" customHeight="1">
      <c r="A88" s="6"/>
      <c r="D88" s="19"/>
      <c r="E88" s="19"/>
      <c r="F88" s="21"/>
      <c r="G88" s="21"/>
    </row>
    <row r="89" ht="15.75" customHeight="1">
      <c r="A89" s="6"/>
      <c r="D89" s="19"/>
      <c r="E89" s="19"/>
      <c r="F89" s="21"/>
      <c r="G89" s="21"/>
    </row>
    <row r="90" ht="15.75" customHeight="1">
      <c r="A90" s="6"/>
      <c r="D90" s="19"/>
      <c r="E90" s="19"/>
      <c r="F90" s="21"/>
      <c r="G90" s="21"/>
    </row>
    <row r="91" ht="15.75" customHeight="1">
      <c r="A91" s="6"/>
      <c r="D91" s="19"/>
      <c r="E91" s="19"/>
      <c r="F91" s="21"/>
      <c r="G91" s="21"/>
    </row>
    <row r="92" ht="15.75" customHeight="1">
      <c r="A92" s="6"/>
      <c r="D92" s="19"/>
      <c r="E92" s="19"/>
      <c r="F92" s="21"/>
      <c r="G92" s="21"/>
    </row>
    <row r="93" ht="15.75" customHeight="1">
      <c r="A93" s="6"/>
      <c r="D93" s="19"/>
      <c r="E93" s="19"/>
      <c r="F93" s="21"/>
      <c r="G93" s="21"/>
    </row>
    <row r="94" ht="15.75" customHeight="1">
      <c r="A94" s="6"/>
      <c r="D94" s="19"/>
      <c r="E94" s="19"/>
      <c r="F94" s="21"/>
      <c r="G94" s="21"/>
    </row>
    <row r="95" ht="15.75" customHeight="1">
      <c r="A95" s="6"/>
      <c r="D95" s="19"/>
      <c r="E95" s="19"/>
      <c r="F95" s="21"/>
      <c r="G95" s="21"/>
    </row>
    <row r="96" ht="15.75" customHeight="1">
      <c r="A96" s="6"/>
      <c r="D96" s="19"/>
      <c r="E96" s="19"/>
      <c r="F96" s="21"/>
      <c r="G96" s="21"/>
    </row>
    <row r="97" ht="15.75" customHeight="1">
      <c r="A97" s="6"/>
      <c r="D97" s="19"/>
      <c r="E97" s="19"/>
      <c r="F97" s="21"/>
      <c r="G97" s="21"/>
    </row>
    <row r="98" ht="15.75" customHeight="1">
      <c r="A98" s="6"/>
      <c r="D98" s="19"/>
      <c r="E98" s="19"/>
      <c r="F98" s="21"/>
      <c r="G98" s="21"/>
    </row>
    <row r="99" ht="15.75" customHeight="1">
      <c r="A99" s="6"/>
      <c r="D99" s="19"/>
      <c r="E99" s="19"/>
      <c r="F99" s="21"/>
      <c r="G99" s="21"/>
    </row>
    <row r="100" ht="15.75" customHeight="1">
      <c r="A100" s="6"/>
      <c r="D100" s="19"/>
      <c r="E100" s="19"/>
      <c r="F100" s="21"/>
      <c r="G100" s="21"/>
    </row>
    <row r="101" ht="15.75" customHeight="1">
      <c r="A101" s="6"/>
      <c r="D101" s="19"/>
      <c r="E101" s="19"/>
      <c r="F101" s="21"/>
      <c r="G101" s="21"/>
    </row>
    <row r="102" ht="15.75" customHeight="1">
      <c r="A102" s="6"/>
      <c r="D102" s="19"/>
      <c r="E102" s="19"/>
      <c r="F102" s="21"/>
      <c r="G102" s="21"/>
    </row>
    <row r="103" ht="15.75" customHeight="1">
      <c r="A103" s="6"/>
      <c r="D103" s="19"/>
      <c r="E103" s="19"/>
      <c r="F103" s="21"/>
      <c r="G103" s="21"/>
    </row>
    <row r="104" ht="15.75" customHeight="1">
      <c r="A104" s="6"/>
      <c r="D104" s="19"/>
      <c r="E104" s="19"/>
      <c r="F104" s="21"/>
      <c r="G104" s="21"/>
    </row>
    <row r="105" ht="15.75" customHeight="1">
      <c r="A105" s="6"/>
      <c r="D105" s="19"/>
      <c r="E105" s="19"/>
      <c r="F105" s="21"/>
      <c r="G105" s="21"/>
    </row>
    <row r="106" ht="15.75" customHeight="1">
      <c r="A106" s="6"/>
      <c r="D106" s="19"/>
      <c r="E106" s="19"/>
      <c r="F106" s="21"/>
      <c r="G106" s="21"/>
    </row>
    <row r="107" ht="15.75" customHeight="1">
      <c r="A107" s="6"/>
      <c r="D107" s="19"/>
      <c r="E107" s="19"/>
      <c r="F107" s="21"/>
      <c r="G107" s="21"/>
    </row>
    <row r="108" ht="15.75" customHeight="1">
      <c r="A108" s="6"/>
      <c r="D108" s="19"/>
      <c r="E108" s="19"/>
      <c r="F108" s="21"/>
      <c r="G108" s="21"/>
    </row>
    <row r="109" ht="15.75" customHeight="1">
      <c r="A109" s="6"/>
      <c r="D109" s="19"/>
      <c r="E109" s="19"/>
      <c r="F109" s="21"/>
      <c r="G109" s="21"/>
    </row>
    <row r="110" ht="15.75" customHeight="1">
      <c r="A110" s="6"/>
      <c r="D110" s="19"/>
      <c r="E110" s="19"/>
      <c r="F110" s="21"/>
      <c r="G110" s="21"/>
    </row>
    <row r="111" ht="15.75" customHeight="1">
      <c r="A111" s="6"/>
      <c r="D111" s="19"/>
      <c r="E111" s="19"/>
      <c r="F111" s="21"/>
      <c r="G111" s="21"/>
    </row>
    <row r="112" ht="15.75" customHeight="1">
      <c r="A112" s="6"/>
      <c r="D112" s="19"/>
      <c r="E112" s="19"/>
      <c r="F112" s="21"/>
      <c r="G112" s="21"/>
    </row>
    <row r="113" ht="15.75" customHeight="1">
      <c r="A113" s="6"/>
      <c r="D113" s="19"/>
      <c r="E113" s="19"/>
      <c r="F113" s="21"/>
      <c r="G113" s="21"/>
    </row>
    <row r="114" ht="15.75" customHeight="1">
      <c r="A114" s="6"/>
      <c r="D114" s="19"/>
      <c r="E114" s="19"/>
      <c r="F114" s="21"/>
      <c r="G114" s="21"/>
    </row>
    <row r="115" ht="15.75" customHeight="1">
      <c r="A115" s="6"/>
      <c r="D115" s="19"/>
      <c r="E115" s="19"/>
      <c r="F115" s="21"/>
      <c r="G115" s="21"/>
    </row>
    <row r="116" ht="15.75" customHeight="1">
      <c r="A116" s="6"/>
      <c r="D116" s="19"/>
      <c r="E116" s="19"/>
      <c r="F116" s="21"/>
      <c r="G116" s="21"/>
    </row>
    <row r="117" ht="15.75" customHeight="1">
      <c r="A117" s="6"/>
      <c r="D117" s="19"/>
      <c r="E117" s="19"/>
      <c r="F117" s="21"/>
      <c r="G117" s="21"/>
    </row>
    <row r="118" ht="15.75" customHeight="1">
      <c r="A118" s="6"/>
      <c r="D118" s="19"/>
      <c r="E118" s="19"/>
      <c r="F118" s="21"/>
      <c r="G118" s="21"/>
    </row>
    <row r="119" ht="15.75" customHeight="1">
      <c r="A119" s="6"/>
      <c r="D119" s="19"/>
      <c r="E119" s="19"/>
      <c r="F119" s="21"/>
      <c r="G119" s="21"/>
    </row>
    <row r="120" ht="15.75" customHeight="1">
      <c r="A120" s="6"/>
      <c r="D120" s="19"/>
      <c r="E120" s="19"/>
      <c r="F120" s="21"/>
      <c r="G120" s="21"/>
    </row>
    <row r="121" ht="15.75" customHeight="1">
      <c r="A121" s="6"/>
      <c r="D121" s="19"/>
      <c r="E121" s="19"/>
      <c r="F121" s="21"/>
      <c r="G121" s="21"/>
    </row>
    <row r="122" ht="15.75" customHeight="1">
      <c r="A122" s="6"/>
      <c r="D122" s="19"/>
      <c r="E122" s="19"/>
      <c r="F122" s="21"/>
      <c r="G122" s="21"/>
    </row>
    <row r="123" ht="15.75" customHeight="1">
      <c r="A123" s="6"/>
      <c r="D123" s="19"/>
      <c r="E123" s="19"/>
      <c r="F123" s="21"/>
      <c r="G123" s="21"/>
    </row>
    <row r="124" ht="15.75" customHeight="1">
      <c r="A124" s="6"/>
      <c r="D124" s="19"/>
      <c r="E124" s="19"/>
      <c r="F124" s="21"/>
      <c r="G124" s="21"/>
    </row>
    <row r="125" ht="15.75" customHeight="1">
      <c r="A125" s="6"/>
      <c r="D125" s="19"/>
      <c r="E125" s="19"/>
      <c r="F125" s="21"/>
      <c r="G125" s="21"/>
    </row>
    <row r="126" ht="15.75" customHeight="1">
      <c r="A126" s="6"/>
      <c r="D126" s="19"/>
      <c r="E126" s="19"/>
      <c r="F126" s="21"/>
      <c r="G126" s="21"/>
    </row>
    <row r="127" ht="15.75" customHeight="1">
      <c r="A127" s="6"/>
      <c r="D127" s="19"/>
      <c r="E127" s="19"/>
      <c r="F127" s="21"/>
      <c r="G127" s="21"/>
    </row>
    <row r="128" ht="15.75" customHeight="1">
      <c r="A128" s="6"/>
      <c r="D128" s="19"/>
      <c r="E128" s="19"/>
      <c r="F128" s="21"/>
      <c r="G128" s="21"/>
    </row>
    <row r="129" ht="15.75" customHeight="1">
      <c r="A129" s="6"/>
      <c r="D129" s="19"/>
      <c r="E129" s="19"/>
      <c r="F129" s="21"/>
      <c r="G129" s="21"/>
    </row>
    <row r="130" ht="15.75" customHeight="1">
      <c r="A130" s="6"/>
      <c r="D130" s="19"/>
      <c r="E130" s="19"/>
      <c r="F130" s="21"/>
      <c r="G130" s="21"/>
    </row>
    <row r="131" ht="15.75" customHeight="1">
      <c r="A131" s="6"/>
      <c r="D131" s="19"/>
      <c r="E131" s="19"/>
      <c r="F131" s="21"/>
      <c r="G131" s="21"/>
    </row>
    <row r="132" ht="15.75" customHeight="1">
      <c r="A132" s="6"/>
      <c r="D132" s="19"/>
      <c r="E132" s="19"/>
      <c r="F132" s="21"/>
      <c r="G132" s="21"/>
    </row>
    <row r="133" ht="15.75" customHeight="1">
      <c r="A133" s="6"/>
      <c r="D133" s="19"/>
      <c r="E133" s="19"/>
      <c r="F133" s="21"/>
      <c r="G133" s="21"/>
    </row>
    <row r="134" ht="15.75" customHeight="1">
      <c r="A134" s="6"/>
      <c r="D134" s="19"/>
      <c r="E134" s="19"/>
      <c r="F134" s="21"/>
      <c r="G134" s="21"/>
    </row>
    <row r="135" ht="15.75" customHeight="1">
      <c r="A135" s="6"/>
      <c r="D135" s="19"/>
      <c r="E135" s="19"/>
      <c r="F135" s="21"/>
      <c r="G135" s="21"/>
    </row>
    <row r="136" ht="15.75" customHeight="1">
      <c r="A136" s="6"/>
      <c r="D136" s="19"/>
      <c r="E136" s="19"/>
      <c r="F136" s="21"/>
      <c r="G136" s="21"/>
    </row>
    <row r="137" ht="15.75" customHeight="1">
      <c r="A137" s="6"/>
      <c r="D137" s="19"/>
      <c r="E137" s="19"/>
      <c r="F137" s="21"/>
      <c r="G137" s="21"/>
    </row>
    <row r="138" ht="15.75" customHeight="1">
      <c r="A138" s="6"/>
      <c r="D138" s="19"/>
      <c r="E138" s="19"/>
      <c r="F138" s="21"/>
      <c r="G138" s="21"/>
    </row>
    <row r="139" ht="15.75" customHeight="1">
      <c r="A139" s="6"/>
      <c r="D139" s="19"/>
      <c r="E139" s="19"/>
      <c r="F139" s="21"/>
      <c r="G139" s="21"/>
    </row>
    <row r="140" ht="15.75" customHeight="1">
      <c r="A140" s="6"/>
      <c r="D140" s="19"/>
      <c r="E140" s="19"/>
      <c r="F140" s="21"/>
      <c r="G140" s="21"/>
    </row>
    <row r="141" ht="15.75" customHeight="1">
      <c r="A141" s="6"/>
      <c r="D141" s="19"/>
      <c r="E141" s="19"/>
      <c r="F141" s="21"/>
      <c r="G141" s="21"/>
    </row>
    <row r="142" ht="15.75" customHeight="1">
      <c r="A142" s="6"/>
      <c r="D142" s="19"/>
      <c r="E142" s="19"/>
      <c r="F142" s="21"/>
      <c r="G142" s="21"/>
    </row>
    <row r="143" ht="15.75" customHeight="1">
      <c r="A143" s="6"/>
      <c r="D143" s="19"/>
      <c r="E143" s="19"/>
      <c r="F143" s="21"/>
      <c r="G143" s="21"/>
    </row>
    <row r="144" ht="15.75" customHeight="1">
      <c r="A144" s="6"/>
      <c r="D144" s="19"/>
      <c r="E144" s="19"/>
      <c r="F144" s="21"/>
      <c r="G144" s="21"/>
    </row>
    <row r="145" ht="15.75" customHeight="1">
      <c r="A145" s="6"/>
      <c r="D145" s="19"/>
      <c r="E145" s="19"/>
      <c r="F145" s="21"/>
      <c r="G145" s="21"/>
    </row>
    <row r="146" ht="15.75" customHeight="1">
      <c r="A146" s="6"/>
      <c r="D146" s="19"/>
      <c r="E146" s="19"/>
      <c r="F146" s="21"/>
      <c r="G146" s="21"/>
    </row>
    <row r="147" ht="15.75" customHeight="1">
      <c r="A147" s="6"/>
      <c r="D147" s="19"/>
      <c r="E147" s="19"/>
      <c r="F147" s="21"/>
      <c r="G147" s="21"/>
    </row>
    <row r="148" ht="15.75" customHeight="1">
      <c r="A148" s="6"/>
      <c r="D148" s="19"/>
      <c r="E148" s="19"/>
      <c r="F148" s="21"/>
      <c r="G148" s="21"/>
    </row>
    <row r="149" ht="15.75" customHeight="1">
      <c r="A149" s="6"/>
      <c r="D149" s="19"/>
      <c r="E149" s="19"/>
      <c r="F149" s="21"/>
      <c r="G149" s="21"/>
    </row>
    <row r="150" ht="15.75" customHeight="1">
      <c r="A150" s="6"/>
      <c r="D150" s="19"/>
      <c r="E150" s="19"/>
      <c r="F150" s="21"/>
      <c r="G150" s="21"/>
    </row>
    <row r="151" ht="15.75" customHeight="1">
      <c r="A151" s="6"/>
      <c r="D151" s="19"/>
      <c r="E151" s="19"/>
      <c r="F151" s="21"/>
      <c r="G151" s="21"/>
    </row>
    <row r="152" ht="15.75" customHeight="1">
      <c r="A152" s="6"/>
      <c r="D152" s="19"/>
      <c r="E152" s="19"/>
      <c r="F152" s="21"/>
      <c r="G152" s="21"/>
    </row>
    <row r="153" ht="15.75" customHeight="1">
      <c r="A153" s="6"/>
      <c r="D153" s="19"/>
      <c r="E153" s="19"/>
      <c r="F153" s="21"/>
      <c r="G153" s="21"/>
    </row>
    <row r="154" ht="15.75" customHeight="1">
      <c r="A154" s="6"/>
      <c r="D154" s="19"/>
      <c r="E154" s="19"/>
      <c r="F154" s="21"/>
      <c r="G154" s="21"/>
    </row>
    <row r="155" ht="15.75" customHeight="1">
      <c r="A155" s="6"/>
      <c r="D155" s="19"/>
      <c r="E155" s="19"/>
      <c r="F155" s="21"/>
      <c r="G155" s="21"/>
    </row>
    <row r="156" ht="15.75" customHeight="1">
      <c r="A156" s="6"/>
      <c r="D156" s="19"/>
      <c r="E156" s="19"/>
      <c r="F156" s="21"/>
      <c r="G156" s="21"/>
    </row>
    <row r="157" ht="15.75" customHeight="1">
      <c r="A157" s="6"/>
      <c r="D157" s="19"/>
      <c r="E157" s="19"/>
      <c r="F157" s="21"/>
      <c r="G157" s="21"/>
    </row>
    <row r="158" ht="15.75" customHeight="1">
      <c r="A158" s="6"/>
      <c r="D158" s="19"/>
      <c r="E158" s="19"/>
      <c r="F158" s="21"/>
      <c r="G158" s="21"/>
    </row>
    <row r="159" ht="15.75" customHeight="1">
      <c r="A159" s="6"/>
      <c r="D159" s="19"/>
      <c r="E159" s="19"/>
      <c r="F159" s="21"/>
      <c r="G159" s="21"/>
    </row>
    <row r="160" ht="15.75" customHeight="1">
      <c r="A160" s="6"/>
      <c r="D160" s="19"/>
      <c r="E160" s="19"/>
      <c r="F160" s="21"/>
      <c r="G160" s="21"/>
    </row>
    <row r="161" ht="15.75" customHeight="1">
      <c r="A161" s="6"/>
      <c r="D161" s="19"/>
      <c r="E161" s="19"/>
      <c r="F161" s="21"/>
      <c r="G161" s="21"/>
    </row>
    <row r="162" ht="15.75" customHeight="1">
      <c r="A162" s="6"/>
      <c r="D162" s="19"/>
      <c r="E162" s="19"/>
      <c r="F162" s="21"/>
      <c r="G162" s="21"/>
    </row>
    <row r="163" ht="15.75" customHeight="1">
      <c r="A163" s="6"/>
      <c r="D163" s="19"/>
      <c r="E163" s="19"/>
      <c r="F163" s="21"/>
      <c r="G163" s="21"/>
    </row>
    <row r="164" ht="15.75" customHeight="1">
      <c r="A164" s="6"/>
      <c r="D164" s="19"/>
      <c r="E164" s="19"/>
      <c r="F164" s="21"/>
      <c r="G164" s="21"/>
    </row>
    <row r="165" ht="15.75" customHeight="1">
      <c r="A165" s="6"/>
      <c r="D165" s="19"/>
      <c r="E165" s="19"/>
      <c r="F165" s="21"/>
      <c r="G165" s="21"/>
    </row>
    <row r="166" ht="15.75" customHeight="1">
      <c r="A166" s="6"/>
      <c r="D166" s="19"/>
      <c r="E166" s="19"/>
      <c r="F166" s="21"/>
      <c r="G166" s="21"/>
    </row>
    <row r="167" ht="15.75" customHeight="1">
      <c r="A167" s="6"/>
      <c r="D167" s="19"/>
      <c r="E167" s="19"/>
      <c r="F167" s="21"/>
      <c r="G167" s="21"/>
    </row>
    <row r="168" ht="15.75" customHeight="1">
      <c r="A168" s="6"/>
      <c r="D168" s="19"/>
      <c r="E168" s="19"/>
      <c r="F168" s="21"/>
      <c r="G168" s="21"/>
    </row>
    <row r="169" ht="15.75" customHeight="1">
      <c r="A169" s="6"/>
      <c r="D169" s="19"/>
      <c r="E169" s="19"/>
      <c r="F169" s="21"/>
      <c r="G169" s="21"/>
    </row>
    <row r="170" ht="15.75" customHeight="1">
      <c r="A170" s="6"/>
      <c r="D170" s="19"/>
      <c r="E170" s="19"/>
      <c r="F170" s="21"/>
      <c r="G170" s="21"/>
    </row>
    <row r="171" ht="15.75" customHeight="1">
      <c r="A171" s="6"/>
      <c r="D171" s="19"/>
      <c r="E171" s="19"/>
      <c r="F171" s="21"/>
      <c r="G171" s="21"/>
    </row>
    <row r="172" ht="15.75" customHeight="1">
      <c r="A172" s="6"/>
      <c r="D172" s="19"/>
      <c r="E172" s="19"/>
      <c r="F172" s="21"/>
      <c r="G172" s="21"/>
    </row>
    <row r="173" ht="15.75" customHeight="1">
      <c r="A173" s="6"/>
      <c r="D173" s="19"/>
      <c r="E173" s="19"/>
      <c r="F173" s="21"/>
      <c r="G173" s="21"/>
    </row>
    <row r="174" ht="15.75" customHeight="1">
      <c r="A174" s="6"/>
      <c r="D174" s="19"/>
      <c r="E174" s="19"/>
      <c r="F174" s="21"/>
      <c r="G174" s="21"/>
    </row>
    <row r="175" ht="15.75" customHeight="1">
      <c r="A175" s="6"/>
      <c r="D175" s="19"/>
      <c r="E175" s="19"/>
      <c r="F175" s="21"/>
      <c r="G175" s="21"/>
    </row>
    <row r="176" ht="15.75" customHeight="1">
      <c r="A176" s="6"/>
      <c r="D176" s="19"/>
      <c r="E176" s="19"/>
      <c r="F176" s="21"/>
      <c r="G176" s="21"/>
    </row>
    <row r="177" ht="15.75" customHeight="1">
      <c r="A177" s="6"/>
      <c r="D177" s="19"/>
      <c r="E177" s="19"/>
      <c r="F177" s="21"/>
      <c r="G177" s="21"/>
    </row>
    <row r="178" ht="15.75" customHeight="1">
      <c r="A178" s="6"/>
      <c r="D178" s="19"/>
      <c r="E178" s="19"/>
      <c r="F178" s="21"/>
      <c r="G178" s="21"/>
    </row>
    <row r="179" ht="15.75" customHeight="1">
      <c r="A179" s="6"/>
      <c r="D179" s="19"/>
      <c r="E179" s="19"/>
      <c r="F179" s="21"/>
      <c r="G179" s="21"/>
    </row>
    <row r="180" ht="15.75" customHeight="1">
      <c r="A180" s="6"/>
      <c r="D180" s="19"/>
      <c r="E180" s="19"/>
      <c r="F180" s="21"/>
      <c r="G180" s="21"/>
    </row>
    <row r="181" ht="15.75" customHeight="1">
      <c r="A181" s="6"/>
      <c r="D181" s="19"/>
      <c r="E181" s="19"/>
      <c r="F181" s="21"/>
      <c r="G181" s="21"/>
    </row>
    <row r="182" ht="15.75" customHeight="1">
      <c r="A182" s="6"/>
      <c r="D182" s="19"/>
      <c r="E182" s="19"/>
      <c r="F182" s="21"/>
      <c r="G182" s="21"/>
    </row>
    <row r="183" ht="15.75" customHeight="1">
      <c r="A183" s="6"/>
      <c r="D183" s="19"/>
      <c r="E183" s="19"/>
      <c r="F183" s="21"/>
      <c r="G183" s="21"/>
    </row>
    <row r="184" ht="15.75" customHeight="1">
      <c r="A184" s="6"/>
      <c r="D184" s="19"/>
      <c r="E184" s="19"/>
      <c r="F184" s="21"/>
      <c r="G184" s="21"/>
    </row>
    <row r="185" ht="15.75" customHeight="1">
      <c r="A185" s="6"/>
      <c r="D185" s="19"/>
      <c r="E185" s="19"/>
      <c r="F185" s="21"/>
      <c r="G185" s="21"/>
    </row>
    <row r="186" ht="15.75" customHeight="1">
      <c r="A186" s="6"/>
      <c r="D186" s="19"/>
      <c r="E186" s="19"/>
      <c r="F186" s="21"/>
      <c r="G186" s="21"/>
    </row>
    <row r="187" ht="15.75" customHeight="1">
      <c r="A187" s="6"/>
      <c r="D187" s="19"/>
      <c r="E187" s="19"/>
      <c r="F187" s="21"/>
      <c r="G187" s="21"/>
    </row>
    <row r="188" ht="15.75" customHeight="1">
      <c r="A188" s="6"/>
      <c r="D188" s="19"/>
      <c r="E188" s="19"/>
      <c r="F188" s="21"/>
      <c r="G188" s="21"/>
    </row>
    <row r="189" ht="15.75" customHeight="1">
      <c r="A189" s="6"/>
      <c r="D189" s="19"/>
      <c r="E189" s="19"/>
      <c r="F189" s="21"/>
      <c r="G189" s="21"/>
    </row>
    <row r="190" ht="15.75" customHeight="1">
      <c r="A190" s="6"/>
      <c r="D190" s="19"/>
      <c r="E190" s="19"/>
      <c r="F190" s="21"/>
      <c r="G190" s="21"/>
    </row>
    <row r="191" ht="15.75" customHeight="1">
      <c r="A191" s="6"/>
      <c r="D191" s="19"/>
      <c r="E191" s="19"/>
      <c r="F191" s="21"/>
      <c r="G191" s="21"/>
    </row>
    <row r="192" ht="15.75" customHeight="1">
      <c r="A192" s="6"/>
      <c r="D192" s="19"/>
      <c r="E192" s="19"/>
      <c r="F192" s="21"/>
      <c r="G192" s="21"/>
    </row>
    <row r="193" ht="15.75" customHeight="1">
      <c r="A193" s="6"/>
      <c r="D193" s="19"/>
      <c r="E193" s="19"/>
      <c r="F193" s="21"/>
      <c r="G193" s="21"/>
    </row>
    <row r="194" ht="15.75" customHeight="1">
      <c r="A194" s="6"/>
      <c r="D194" s="19"/>
      <c r="E194" s="19"/>
      <c r="F194" s="21"/>
      <c r="G194" s="21"/>
    </row>
    <row r="195" ht="15.75" customHeight="1">
      <c r="A195" s="6"/>
      <c r="D195" s="19"/>
      <c r="E195" s="19"/>
      <c r="F195" s="21"/>
      <c r="G195" s="21"/>
    </row>
    <row r="196" ht="15.75" customHeight="1">
      <c r="A196" s="6"/>
      <c r="D196" s="19"/>
      <c r="E196" s="19"/>
      <c r="F196" s="21"/>
      <c r="G196" s="21"/>
    </row>
    <row r="197" ht="15.75" customHeight="1">
      <c r="A197" s="6"/>
      <c r="D197" s="19"/>
      <c r="E197" s="19"/>
      <c r="F197" s="21"/>
      <c r="G197" s="21"/>
    </row>
    <row r="198" ht="15.75" customHeight="1">
      <c r="A198" s="6"/>
      <c r="D198" s="19"/>
      <c r="E198" s="19"/>
      <c r="F198" s="21"/>
      <c r="G198" s="21"/>
    </row>
    <row r="199" ht="15.75" customHeight="1">
      <c r="A199" s="6"/>
      <c r="D199" s="19"/>
      <c r="E199" s="19"/>
      <c r="F199" s="21"/>
      <c r="G199" s="21"/>
    </row>
    <row r="200" ht="15.75" customHeight="1">
      <c r="A200" s="6"/>
      <c r="D200" s="19"/>
      <c r="E200" s="19"/>
      <c r="F200" s="21"/>
      <c r="G200" s="21"/>
    </row>
    <row r="201" ht="15.75" customHeight="1">
      <c r="A201" s="6"/>
      <c r="D201" s="19"/>
      <c r="E201" s="19"/>
      <c r="F201" s="21"/>
      <c r="G201" s="21"/>
    </row>
    <row r="202" ht="15.75" customHeight="1">
      <c r="A202" s="6"/>
      <c r="D202" s="19"/>
      <c r="E202" s="19"/>
      <c r="F202" s="21"/>
      <c r="G202" s="21"/>
    </row>
    <row r="203" ht="15.75" customHeight="1">
      <c r="A203" s="6"/>
      <c r="D203" s="19"/>
      <c r="E203" s="19"/>
      <c r="F203" s="21"/>
      <c r="G203" s="21"/>
    </row>
    <row r="204" ht="15.75" customHeight="1">
      <c r="A204" s="6"/>
      <c r="D204" s="19"/>
      <c r="E204" s="19"/>
      <c r="F204" s="21"/>
      <c r="G204" s="21"/>
    </row>
    <row r="205" ht="15.75" customHeight="1">
      <c r="A205" s="6"/>
      <c r="D205" s="19"/>
      <c r="E205" s="19"/>
      <c r="F205" s="21"/>
      <c r="G205" s="21"/>
    </row>
    <row r="206" ht="15.75" customHeight="1">
      <c r="A206" s="6"/>
      <c r="D206" s="19"/>
      <c r="E206" s="19"/>
      <c r="F206" s="21"/>
      <c r="G206" s="21"/>
    </row>
    <row r="207" ht="15.75" customHeight="1">
      <c r="A207" s="6"/>
      <c r="D207" s="19"/>
      <c r="E207" s="19"/>
      <c r="F207" s="21"/>
      <c r="G207" s="21"/>
    </row>
    <row r="208" ht="15.75" customHeight="1">
      <c r="A208" s="6"/>
      <c r="D208" s="19"/>
      <c r="E208" s="19"/>
      <c r="F208" s="21"/>
      <c r="G208" s="21"/>
    </row>
    <row r="209" ht="15.75" customHeight="1">
      <c r="A209" s="6"/>
      <c r="D209" s="19"/>
      <c r="E209" s="19"/>
      <c r="F209" s="21"/>
      <c r="G209" s="21"/>
    </row>
    <row r="210" ht="15.75" customHeight="1">
      <c r="A210" s="6"/>
      <c r="D210" s="19"/>
      <c r="E210" s="19"/>
      <c r="F210" s="21"/>
      <c r="G210" s="21"/>
    </row>
    <row r="211" ht="15.75" customHeight="1">
      <c r="A211" s="6"/>
      <c r="D211" s="19"/>
      <c r="E211" s="19"/>
      <c r="F211" s="21"/>
      <c r="G211" s="21"/>
    </row>
    <row r="212" ht="15.75" customHeight="1">
      <c r="A212" s="6"/>
      <c r="D212" s="19"/>
      <c r="E212" s="19"/>
      <c r="F212" s="21"/>
      <c r="G212" s="21"/>
    </row>
    <row r="213" ht="15.75" customHeight="1">
      <c r="A213" s="6"/>
      <c r="D213" s="19"/>
      <c r="E213" s="19"/>
      <c r="F213" s="21"/>
      <c r="G213" s="21"/>
    </row>
    <row r="214" ht="15.75" customHeight="1">
      <c r="A214" s="6"/>
      <c r="D214" s="19"/>
      <c r="E214" s="19"/>
      <c r="F214" s="21"/>
      <c r="G214" s="21"/>
    </row>
    <row r="215" ht="15.75" customHeight="1">
      <c r="A215" s="6"/>
      <c r="D215" s="19"/>
      <c r="E215" s="19"/>
      <c r="F215" s="21"/>
      <c r="G215" s="21"/>
    </row>
    <row r="216" ht="15.75" customHeight="1">
      <c r="A216" s="6"/>
      <c r="D216" s="19"/>
      <c r="E216" s="19"/>
      <c r="F216" s="21"/>
      <c r="G216" s="21"/>
    </row>
    <row r="217" ht="15.75" customHeight="1">
      <c r="A217" s="6"/>
      <c r="D217" s="19"/>
      <c r="E217" s="19"/>
      <c r="F217" s="21"/>
      <c r="G217" s="21"/>
    </row>
    <row r="218" ht="15.75" customHeight="1">
      <c r="A218" s="6"/>
      <c r="D218" s="19"/>
      <c r="E218" s="19"/>
      <c r="F218" s="21"/>
      <c r="G218" s="21"/>
    </row>
    <row r="219" ht="15.75" customHeight="1">
      <c r="A219" s="6"/>
      <c r="D219" s="19"/>
      <c r="E219" s="19"/>
      <c r="F219" s="21"/>
      <c r="G219" s="21"/>
    </row>
    <row r="220" ht="15.75" customHeight="1">
      <c r="A220" s="6"/>
      <c r="D220" s="19"/>
      <c r="E220" s="19"/>
      <c r="F220" s="21"/>
      <c r="G220" s="21"/>
    </row>
    <row r="221" ht="15.75" customHeight="1">
      <c r="A221" s="6"/>
      <c r="D221" s="19"/>
      <c r="E221" s="19"/>
      <c r="F221" s="21"/>
      <c r="G221" s="21"/>
    </row>
    <row r="222" ht="15.75" customHeight="1">
      <c r="A222" s="6"/>
      <c r="D222" s="19"/>
      <c r="E222" s="19"/>
      <c r="F222" s="21"/>
      <c r="G222" s="21"/>
    </row>
    <row r="223" ht="15.75" customHeight="1">
      <c r="A223" s="6"/>
      <c r="D223" s="19"/>
      <c r="E223" s="19"/>
      <c r="F223" s="21"/>
      <c r="G223" s="21"/>
    </row>
    <row r="224" ht="15.75" customHeight="1">
      <c r="A224" s="6"/>
      <c r="D224" s="19"/>
      <c r="E224" s="19"/>
      <c r="F224" s="21"/>
      <c r="G224" s="21"/>
    </row>
    <row r="225" ht="15.75" customHeight="1">
      <c r="A225" s="6"/>
      <c r="D225" s="19"/>
      <c r="E225" s="19"/>
      <c r="F225" s="21"/>
      <c r="G225" s="21"/>
    </row>
    <row r="226" ht="15.75" customHeight="1">
      <c r="A226" s="6"/>
      <c r="D226" s="19"/>
      <c r="E226" s="19"/>
      <c r="F226" s="21"/>
      <c r="G226" s="21"/>
    </row>
    <row r="227" ht="15.75" customHeight="1">
      <c r="A227" s="6"/>
      <c r="D227" s="19"/>
      <c r="E227" s="19"/>
      <c r="F227" s="21"/>
      <c r="G227" s="21"/>
    </row>
    <row r="228" ht="15.75" customHeight="1">
      <c r="A228" s="6"/>
      <c r="D228" s="19"/>
      <c r="E228" s="19"/>
      <c r="F228" s="21"/>
      <c r="G228" s="21"/>
    </row>
    <row r="229" ht="15.75" customHeight="1">
      <c r="A229" s="6"/>
      <c r="D229" s="19"/>
      <c r="E229" s="19"/>
      <c r="F229" s="21"/>
      <c r="G229" s="21"/>
    </row>
    <row r="230" ht="15.75" customHeight="1">
      <c r="A230" s="6"/>
      <c r="D230" s="19"/>
      <c r="E230" s="19"/>
      <c r="F230" s="21"/>
      <c r="G230" s="21"/>
    </row>
    <row r="231" ht="15.75" customHeight="1">
      <c r="A231" s="6"/>
      <c r="D231" s="19"/>
      <c r="E231" s="19"/>
      <c r="F231" s="21"/>
      <c r="G231" s="21"/>
    </row>
    <row r="232" ht="15.75" customHeight="1">
      <c r="A232" s="6"/>
      <c r="D232" s="19"/>
      <c r="E232" s="19"/>
      <c r="F232" s="21"/>
      <c r="G232" s="21"/>
    </row>
    <row r="233" ht="15.75" customHeight="1">
      <c r="A233" s="6"/>
      <c r="D233" s="19"/>
      <c r="E233" s="19"/>
      <c r="F233" s="21"/>
      <c r="G233" s="21"/>
    </row>
    <row r="234" ht="15.75" customHeight="1">
      <c r="A234" s="6"/>
      <c r="D234" s="19"/>
      <c r="E234" s="19"/>
      <c r="F234" s="21"/>
      <c r="G234" s="21"/>
    </row>
    <row r="235" ht="15.75" customHeight="1">
      <c r="A235" s="6"/>
      <c r="D235" s="19"/>
      <c r="E235" s="19"/>
      <c r="F235" s="21"/>
      <c r="G235" s="21"/>
    </row>
    <row r="236" ht="15.75" customHeight="1">
      <c r="A236" s="6"/>
      <c r="D236" s="19"/>
      <c r="E236" s="19"/>
      <c r="F236" s="21"/>
      <c r="G236" s="21"/>
    </row>
    <row r="237" ht="15.75" customHeight="1">
      <c r="A237" s="6"/>
      <c r="D237" s="19"/>
      <c r="E237" s="19"/>
      <c r="F237" s="21"/>
      <c r="G237" s="21"/>
    </row>
    <row r="238" ht="15.75" customHeight="1">
      <c r="A238" s="6"/>
      <c r="D238" s="19"/>
      <c r="E238" s="19"/>
      <c r="F238" s="21"/>
      <c r="G238" s="21"/>
    </row>
    <row r="239" ht="15.75" customHeight="1">
      <c r="A239" s="6"/>
      <c r="D239" s="19"/>
      <c r="E239" s="19"/>
      <c r="F239" s="21"/>
      <c r="G239" s="21"/>
    </row>
    <row r="240" ht="15.75" customHeight="1">
      <c r="A240" s="6"/>
      <c r="D240" s="19"/>
      <c r="E240" s="19"/>
      <c r="F240" s="21"/>
      <c r="G240" s="21"/>
    </row>
    <row r="241" ht="15.75" customHeight="1">
      <c r="A241" s="6"/>
      <c r="D241" s="19"/>
      <c r="E241" s="19"/>
      <c r="F241" s="21"/>
      <c r="G241" s="21"/>
    </row>
    <row r="242" ht="15.75" customHeight="1">
      <c r="A242" s="6"/>
      <c r="D242" s="19"/>
      <c r="E242" s="19"/>
      <c r="F242" s="21"/>
      <c r="G242" s="21"/>
    </row>
    <row r="243" ht="15.75" customHeight="1">
      <c r="A243" s="6"/>
      <c r="D243" s="19"/>
      <c r="E243" s="19"/>
      <c r="F243" s="21"/>
      <c r="G243" s="21"/>
    </row>
    <row r="244" ht="15.75" customHeight="1">
      <c r="A244" s="6"/>
      <c r="D244" s="19"/>
      <c r="E244" s="19"/>
      <c r="F244" s="21"/>
      <c r="G244" s="21"/>
    </row>
    <row r="245" ht="15.75" customHeight="1">
      <c r="A245" s="6"/>
      <c r="D245" s="19"/>
      <c r="E245" s="19"/>
      <c r="F245" s="21"/>
      <c r="G245" s="21"/>
    </row>
    <row r="246" ht="15.75" customHeight="1">
      <c r="A246" s="6"/>
      <c r="D246" s="19"/>
      <c r="E246" s="19"/>
      <c r="F246" s="21"/>
      <c r="G246" s="21"/>
    </row>
    <row r="247" ht="15.75" customHeight="1">
      <c r="A247" s="6"/>
      <c r="D247" s="19"/>
      <c r="E247" s="19"/>
      <c r="F247" s="21"/>
      <c r="G247" s="21"/>
    </row>
    <row r="248" ht="15.75" customHeight="1">
      <c r="A248" s="6"/>
      <c r="D248" s="19"/>
      <c r="E248" s="19"/>
      <c r="F248" s="21"/>
      <c r="G248" s="21"/>
    </row>
    <row r="249" ht="15.75" customHeight="1">
      <c r="A249" s="6"/>
      <c r="D249" s="19"/>
      <c r="E249" s="19"/>
      <c r="F249" s="21"/>
      <c r="G249" s="21"/>
    </row>
    <row r="250" ht="15.75" customHeight="1">
      <c r="A250" s="6"/>
      <c r="D250" s="19"/>
      <c r="E250" s="19"/>
      <c r="F250" s="21"/>
      <c r="G250" s="21"/>
    </row>
    <row r="251" ht="15.75" customHeight="1">
      <c r="A251" s="6"/>
      <c r="D251" s="19"/>
      <c r="E251" s="19"/>
      <c r="F251" s="21"/>
      <c r="G251" s="21"/>
    </row>
    <row r="252" ht="15.75" customHeight="1">
      <c r="A252" s="6"/>
      <c r="D252" s="19"/>
      <c r="E252" s="19"/>
      <c r="F252" s="21"/>
      <c r="G252" s="21"/>
    </row>
    <row r="253" ht="15.75" customHeight="1">
      <c r="A253" s="6"/>
      <c r="D253" s="19"/>
      <c r="E253" s="19"/>
      <c r="F253" s="21"/>
      <c r="G253" s="21"/>
    </row>
    <row r="254" ht="15.75" customHeight="1">
      <c r="A254" s="6"/>
      <c r="D254" s="19"/>
      <c r="E254" s="19"/>
      <c r="F254" s="21"/>
      <c r="G254" s="21"/>
    </row>
    <row r="255" ht="15.75" customHeight="1">
      <c r="A255" s="6"/>
      <c r="D255" s="19"/>
      <c r="E255" s="19"/>
      <c r="F255" s="21"/>
      <c r="G255" s="21"/>
    </row>
    <row r="256" ht="15.75" customHeight="1">
      <c r="A256" s="6"/>
      <c r="D256" s="19"/>
      <c r="E256" s="19"/>
      <c r="F256" s="21"/>
      <c r="G256" s="21"/>
    </row>
    <row r="257" ht="15.75" customHeight="1">
      <c r="A257" s="6"/>
      <c r="D257" s="19"/>
      <c r="E257" s="19"/>
      <c r="F257" s="21"/>
      <c r="G257" s="21"/>
    </row>
    <row r="258" ht="15.75" customHeight="1">
      <c r="A258" s="6"/>
      <c r="D258" s="19"/>
      <c r="E258" s="19"/>
      <c r="F258" s="21"/>
      <c r="G258" s="21"/>
    </row>
    <row r="259" ht="15.75" customHeight="1">
      <c r="A259" s="6"/>
      <c r="D259" s="19"/>
      <c r="E259" s="19"/>
      <c r="F259" s="21"/>
      <c r="G259" s="21"/>
    </row>
    <row r="260" ht="15.75" customHeight="1">
      <c r="A260" s="6"/>
      <c r="D260" s="19"/>
      <c r="E260" s="19"/>
      <c r="F260" s="21"/>
      <c r="G260" s="21"/>
    </row>
    <row r="261" ht="15.75" customHeight="1">
      <c r="A261" s="6"/>
      <c r="D261" s="19"/>
      <c r="E261" s="19"/>
      <c r="F261" s="21"/>
      <c r="G261" s="21"/>
    </row>
    <row r="262" ht="15.75" customHeight="1">
      <c r="A262" s="6"/>
      <c r="D262" s="19"/>
      <c r="E262" s="19"/>
      <c r="F262" s="21"/>
      <c r="G262" s="21"/>
    </row>
    <row r="263" ht="15.75" customHeight="1">
      <c r="A263" s="6"/>
      <c r="D263" s="19"/>
      <c r="E263" s="19"/>
      <c r="F263" s="21"/>
      <c r="G263" s="21"/>
    </row>
    <row r="264" ht="15.75" customHeight="1">
      <c r="A264" s="6"/>
      <c r="D264" s="19"/>
      <c r="E264" s="19"/>
      <c r="F264" s="21"/>
      <c r="G264" s="21"/>
    </row>
    <row r="265" ht="15.75" customHeight="1">
      <c r="A265" s="6"/>
      <c r="D265" s="19"/>
      <c r="E265" s="19"/>
      <c r="F265" s="21"/>
      <c r="G265" s="21"/>
    </row>
    <row r="266" ht="15.75" customHeight="1">
      <c r="A266" s="6"/>
      <c r="D266" s="19"/>
      <c r="E266" s="19"/>
      <c r="F266" s="21"/>
      <c r="G266" s="2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8"/>
  <hyperlinks>
    <hyperlink r:id="rId1" ref="B3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outlineLevelCol="2"/>
  <cols>
    <col customWidth="1" min="1" max="1" width="4.57"/>
    <col customWidth="1" min="2" max="2" width="5.71"/>
    <col customWidth="1" min="3" max="3" width="29.43"/>
    <col customWidth="1" hidden="1" min="4" max="4" width="23.29"/>
    <col customWidth="1" min="5" max="5" width="42.86"/>
    <col customWidth="1" min="6" max="6" width="10.71"/>
    <col customWidth="1" min="7" max="10" width="14.14"/>
  </cols>
  <sheetData>
    <row r="1" ht="15.75" customHeight="1">
      <c r="A1" s="1"/>
      <c r="B1" s="1"/>
      <c r="C1" s="1"/>
      <c r="D1" s="3" t="s">
        <v>1</v>
      </c>
      <c r="E1" s="5" t="s">
        <v>2</v>
      </c>
      <c r="F1" s="7" t="s">
        <v>3</v>
      </c>
      <c r="G1" s="8" t="s">
        <v>4</v>
      </c>
      <c r="H1" s="8" t="s">
        <v>5</v>
      </c>
      <c r="I1" s="8" t="s">
        <v>6</v>
      </c>
      <c r="J1" s="8" t="s">
        <v>8</v>
      </c>
      <c r="K1" s="1" t="s">
        <v>9</v>
      </c>
      <c r="L1" s="12"/>
      <c r="M1" s="12">
        <v>43466.0</v>
      </c>
      <c r="N1" s="12">
        <v>43497.0</v>
      </c>
      <c r="O1" s="12">
        <v>43525.0</v>
      </c>
      <c r="P1" s="12">
        <v>43556.0</v>
      </c>
      <c r="Q1" s="12">
        <v>43586.0</v>
      </c>
      <c r="R1" s="12">
        <v>43617.0</v>
      </c>
      <c r="S1" s="12">
        <v>43647.0</v>
      </c>
      <c r="T1" s="12">
        <v>43678.0</v>
      </c>
      <c r="U1" s="12">
        <v>43709.0</v>
      </c>
      <c r="V1" s="12">
        <v>43739.0</v>
      </c>
      <c r="W1" s="12">
        <v>43770.0</v>
      </c>
      <c r="X1" s="12">
        <v>43800.0</v>
      </c>
      <c r="Y1" s="12">
        <v>43831.0</v>
      </c>
      <c r="Z1" s="12">
        <v>43862.0</v>
      </c>
      <c r="AA1" s="12">
        <v>43891.0</v>
      </c>
      <c r="AB1" s="12">
        <v>43922.0</v>
      </c>
      <c r="AC1" s="12">
        <v>43952.0</v>
      </c>
      <c r="AD1" s="12">
        <v>43983.0</v>
      </c>
      <c r="AE1" s="12">
        <v>44013.0</v>
      </c>
      <c r="AF1" s="12">
        <v>44044.0</v>
      </c>
      <c r="AG1" s="12">
        <v>44075.0</v>
      </c>
      <c r="AH1" s="12">
        <v>44105.0</v>
      </c>
    </row>
    <row r="2" ht="15.75" customHeight="1">
      <c r="A2" s="1"/>
      <c r="B2" s="16"/>
      <c r="C2" s="16"/>
      <c r="D2" s="17"/>
      <c r="E2" s="18"/>
      <c r="F2" s="20"/>
      <c r="G2" s="22"/>
      <c r="H2" s="22"/>
      <c r="I2" s="22"/>
      <c r="J2" s="22"/>
      <c r="K2" s="16"/>
      <c r="L2" s="16"/>
      <c r="M2" s="16"/>
      <c r="N2" s="16"/>
      <c r="O2" s="16"/>
      <c r="P2" s="16"/>
      <c r="Q2" s="16"/>
      <c r="R2" s="16"/>
      <c r="S2" s="16"/>
      <c r="T2" s="16"/>
      <c r="U2" s="16"/>
      <c r="V2" s="16"/>
      <c r="W2" s="16"/>
      <c r="X2" s="16"/>
      <c r="Y2" s="16"/>
      <c r="Z2" s="16"/>
      <c r="AA2" s="16"/>
      <c r="AB2" s="16"/>
      <c r="AC2" s="16"/>
      <c r="AD2" s="16"/>
      <c r="AE2" s="16"/>
      <c r="AF2" s="16"/>
      <c r="AG2" s="16"/>
      <c r="AH2" s="16"/>
    </row>
    <row r="3" ht="15.75" customHeight="1">
      <c r="A3" s="1" t="s">
        <v>27</v>
      </c>
      <c r="B3" s="16"/>
      <c r="C3" s="16"/>
      <c r="D3" s="17"/>
      <c r="E3" s="18"/>
      <c r="F3" s="20"/>
      <c r="G3" s="22"/>
      <c r="H3" s="22"/>
      <c r="I3" s="22"/>
      <c r="J3" s="22"/>
      <c r="K3" s="16"/>
      <c r="L3" s="16"/>
      <c r="M3" s="16"/>
      <c r="N3" s="16"/>
      <c r="O3" s="16"/>
      <c r="P3" s="16"/>
      <c r="Q3" s="16"/>
      <c r="R3" s="16"/>
      <c r="S3" s="16"/>
      <c r="T3" s="16"/>
      <c r="U3" s="16"/>
      <c r="V3" s="16"/>
      <c r="W3" s="16"/>
      <c r="X3" s="16"/>
      <c r="Y3" s="16"/>
      <c r="Z3" s="16"/>
      <c r="AA3" s="16"/>
      <c r="AB3" s="16"/>
      <c r="AC3" s="16"/>
      <c r="AD3" s="16"/>
      <c r="AE3" s="16"/>
      <c r="AF3" s="16"/>
      <c r="AG3" s="16"/>
      <c r="AH3" s="16"/>
    </row>
    <row r="4" ht="15.75" customHeight="1">
      <c r="A4" s="1"/>
      <c r="B4" s="16" t="s">
        <v>42</v>
      </c>
      <c r="C4" s="16"/>
      <c r="D4" s="17"/>
      <c r="E4" s="18"/>
      <c r="F4" s="20"/>
      <c r="G4" s="22"/>
      <c r="H4" s="22"/>
      <c r="I4" s="22"/>
      <c r="J4" s="22"/>
      <c r="K4" s="16"/>
      <c r="L4" s="16"/>
      <c r="M4" s="16"/>
      <c r="N4" s="16"/>
      <c r="O4" s="16"/>
      <c r="P4" s="16"/>
      <c r="Q4" s="16"/>
      <c r="R4" s="16"/>
      <c r="S4" s="16"/>
      <c r="T4" s="16"/>
      <c r="U4" s="16"/>
      <c r="V4" s="16"/>
      <c r="W4" s="16"/>
      <c r="X4" s="16"/>
      <c r="Y4" s="16"/>
      <c r="Z4" s="16"/>
      <c r="AA4" s="16"/>
      <c r="AB4" s="16"/>
      <c r="AC4" s="16"/>
      <c r="AD4" s="16"/>
      <c r="AE4" s="16"/>
      <c r="AF4" s="16"/>
      <c r="AG4" s="16"/>
      <c r="AH4" s="16"/>
    </row>
    <row r="5" ht="15.75" customHeight="1">
      <c r="A5" s="1"/>
      <c r="C5" s="16" t="s">
        <v>56</v>
      </c>
      <c r="D5" s="17"/>
      <c r="E5" s="18" t="s">
        <v>59</v>
      </c>
      <c r="F5" s="20"/>
      <c r="G5" s="22">
        <v>4.0</v>
      </c>
      <c r="H5" s="22">
        <v>3.0</v>
      </c>
      <c r="I5" s="22">
        <f t="shared" ref="I5:I6" si="1">6-H5</f>
        <v>3</v>
      </c>
      <c r="J5" s="22">
        <f t="shared" ref="J5:J6" si="2">I5+G5</f>
        <v>7</v>
      </c>
      <c r="K5" s="16" t="s">
        <v>93</v>
      </c>
      <c r="L5" s="16"/>
      <c r="M5" s="16"/>
      <c r="N5" s="16"/>
      <c r="O5" s="16"/>
      <c r="P5" s="16"/>
      <c r="Q5" s="16"/>
      <c r="R5" s="16"/>
      <c r="S5" s="16"/>
      <c r="T5" s="16"/>
      <c r="U5" s="16"/>
      <c r="V5" s="16"/>
      <c r="W5" s="16" t="s">
        <v>93</v>
      </c>
      <c r="X5" s="16"/>
      <c r="Y5" s="16"/>
      <c r="Z5" s="16"/>
      <c r="AA5" s="16"/>
      <c r="AB5" s="16"/>
      <c r="AC5" s="16"/>
      <c r="AD5" s="16"/>
      <c r="AE5" s="16"/>
      <c r="AF5" s="16"/>
      <c r="AG5" s="16"/>
      <c r="AH5" s="16"/>
    </row>
    <row r="6" ht="15.75" customHeight="1">
      <c r="A6" s="1"/>
      <c r="C6" s="16" t="s">
        <v>107</v>
      </c>
      <c r="D6" s="17"/>
      <c r="E6" s="18"/>
      <c r="F6" s="20"/>
      <c r="G6" s="22">
        <v>5.0</v>
      </c>
      <c r="H6" s="22">
        <v>2.0</v>
      </c>
      <c r="I6" s="22">
        <f t="shared" si="1"/>
        <v>4</v>
      </c>
      <c r="J6" s="22">
        <f t="shared" si="2"/>
        <v>9</v>
      </c>
      <c r="K6" s="16" t="s">
        <v>75</v>
      </c>
      <c r="L6" s="16"/>
      <c r="M6" s="16"/>
      <c r="N6" s="16"/>
      <c r="O6" s="16"/>
      <c r="P6" s="16"/>
      <c r="Q6" s="16"/>
      <c r="R6" s="16"/>
      <c r="S6" s="16"/>
      <c r="T6" s="16"/>
      <c r="U6" s="16"/>
      <c r="V6" s="16"/>
      <c r="W6" s="16"/>
      <c r="X6" s="16"/>
      <c r="Y6" s="16"/>
      <c r="Z6" s="16" t="s">
        <v>75</v>
      </c>
      <c r="AA6" s="16"/>
      <c r="AB6" s="16"/>
      <c r="AC6" s="16"/>
      <c r="AD6" s="16"/>
      <c r="AE6" s="16"/>
      <c r="AF6" s="16"/>
      <c r="AG6" s="16"/>
      <c r="AH6" s="16"/>
    </row>
    <row r="7" ht="15.75" customHeight="1">
      <c r="A7" s="1"/>
      <c r="C7" s="16" t="s">
        <v>116</v>
      </c>
      <c r="D7" s="17"/>
      <c r="E7" s="18"/>
      <c r="F7" s="20"/>
      <c r="G7" s="22"/>
      <c r="H7" s="22"/>
      <c r="I7" s="22"/>
      <c r="J7" s="22"/>
      <c r="K7" s="16" t="s">
        <v>118</v>
      </c>
      <c r="L7" s="16"/>
      <c r="M7" s="16"/>
      <c r="N7" s="16"/>
      <c r="O7" s="16"/>
      <c r="P7" s="16"/>
      <c r="Q7" s="16"/>
      <c r="R7" s="16"/>
      <c r="S7" s="16"/>
      <c r="T7" s="16"/>
      <c r="U7" s="16"/>
      <c r="V7" s="16"/>
      <c r="W7" s="16"/>
      <c r="X7" s="16"/>
      <c r="Y7" s="16"/>
      <c r="Z7" s="16"/>
      <c r="AA7" s="16"/>
      <c r="AB7" s="16"/>
      <c r="AC7" s="16"/>
      <c r="AD7" s="16"/>
      <c r="AE7" s="16"/>
      <c r="AF7" s="16"/>
      <c r="AG7" s="16"/>
      <c r="AH7" s="16"/>
    </row>
    <row r="8" ht="15.75" customHeight="1">
      <c r="A8" s="1"/>
      <c r="C8" s="16" t="s">
        <v>125</v>
      </c>
      <c r="D8" s="17"/>
      <c r="E8" s="18"/>
      <c r="F8" s="20"/>
      <c r="G8" s="22">
        <v>3.0</v>
      </c>
      <c r="H8" s="22">
        <v>3.0</v>
      </c>
      <c r="I8" s="22">
        <f t="shared" ref="I8:I14" si="3">6-H8</f>
        <v>3</v>
      </c>
      <c r="J8" s="22">
        <f t="shared" ref="J8:J14" si="4">I8+G8</f>
        <v>6</v>
      </c>
      <c r="K8" s="16" t="s">
        <v>93</v>
      </c>
      <c r="L8" s="16"/>
      <c r="M8" s="16"/>
      <c r="N8" s="16"/>
      <c r="O8" s="16"/>
      <c r="P8" s="16"/>
      <c r="Q8" s="16"/>
      <c r="R8" s="16"/>
      <c r="S8" s="16"/>
      <c r="T8" s="16"/>
      <c r="U8" s="16" t="s">
        <v>93</v>
      </c>
      <c r="V8" s="16"/>
      <c r="W8" s="16"/>
      <c r="X8" s="16"/>
      <c r="Y8" s="16"/>
      <c r="Z8" s="16"/>
      <c r="AA8" s="16"/>
      <c r="AB8" s="16"/>
      <c r="AC8" s="16"/>
      <c r="AD8" s="16"/>
      <c r="AE8" s="16"/>
      <c r="AF8" s="16"/>
      <c r="AG8" s="16"/>
      <c r="AH8" s="16"/>
    </row>
    <row r="9" ht="15.75" customHeight="1">
      <c r="A9" s="1"/>
      <c r="C9" s="16" t="s">
        <v>77</v>
      </c>
      <c r="D9" s="17" t="s">
        <v>79</v>
      </c>
      <c r="E9" s="18" t="s">
        <v>81</v>
      </c>
      <c r="F9" s="20"/>
      <c r="G9" s="22">
        <v>2.0</v>
      </c>
      <c r="H9" s="22">
        <v>4.0</v>
      </c>
      <c r="I9" s="22">
        <f t="shared" si="3"/>
        <v>2</v>
      </c>
      <c r="J9" s="22">
        <f t="shared" si="4"/>
        <v>4</v>
      </c>
      <c r="K9" s="16" t="s">
        <v>143</v>
      </c>
      <c r="L9" s="16"/>
      <c r="M9" s="16"/>
      <c r="N9" s="16"/>
      <c r="O9" s="16"/>
      <c r="P9" s="16"/>
      <c r="Q9" s="16"/>
      <c r="R9" s="16"/>
      <c r="S9" s="16"/>
      <c r="T9" s="16"/>
      <c r="U9" s="16"/>
      <c r="V9" s="16"/>
      <c r="W9" s="16"/>
      <c r="X9" s="16"/>
      <c r="Y9" s="16"/>
      <c r="Z9" s="16"/>
      <c r="AA9" s="16" t="s">
        <v>149</v>
      </c>
      <c r="AB9" s="16"/>
      <c r="AC9" s="16"/>
      <c r="AD9" s="16"/>
      <c r="AE9" s="16"/>
      <c r="AF9" s="16"/>
      <c r="AG9" s="16"/>
      <c r="AH9" s="16"/>
    </row>
    <row r="10" ht="15.75" customHeight="1" collapsed="1">
      <c r="A10" s="1"/>
      <c r="C10" s="16" t="s">
        <v>152</v>
      </c>
      <c r="D10" s="17"/>
      <c r="E10" s="18" t="s">
        <v>153</v>
      </c>
      <c r="F10" s="20"/>
      <c r="G10" s="22">
        <v>3.0</v>
      </c>
      <c r="H10" s="22">
        <v>4.0</v>
      </c>
      <c r="I10" s="22">
        <f t="shared" si="3"/>
        <v>2</v>
      </c>
      <c r="J10" s="22">
        <f t="shared" si="4"/>
        <v>5</v>
      </c>
      <c r="K10" s="16" t="s">
        <v>118</v>
      </c>
      <c r="L10" s="16"/>
      <c r="M10" s="16"/>
      <c r="N10" s="16"/>
      <c r="O10" s="16"/>
      <c r="P10" s="16"/>
      <c r="Q10" s="16"/>
      <c r="R10" s="16"/>
      <c r="S10" s="16"/>
      <c r="T10" s="16"/>
      <c r="U10" s="16"/>
      <c r="V10" s="16"/>
      <c r="W10" s="16"/>
      <c r="X10" s="16"/>
      <c r="Y10" s="16"/>
      <c r="Z10" s="16"/>
      <c r="AA10" s="16"/>
      <c r="AB10" s="16"/>
      <c r="AC10" s="16"/>
      <c r="AD10" s="16"/>
      <c r="AE10" s="16"/>
      <c r="AF10" s="16"/>
      <c r="AG10" s="16"/>
      <c r="AH10" s="16"/>
    </row>
    <row r="11" ht="15.75" hidden="1" customHeight="1" outlineLevel="1">
      <c r="A11" s="1"/>
      <c r="B11" s="16" t="s">
        <v>161</v>
      </c>
      <c r="C11" s="16"/>
      <c r="D11" s="17"/>
      <c r="E11" s="18" t="s">
        <v>163</v>
      </c>
      <c r="F11" s="20"/>
      <c r="G11" s="22">
        <v>2.0</v>
      </c>
      <c r="H11" s="22">
        <v>2.0</v>
      </c>
      <c r="I11" s="22">
        <f t="shared" si="3"/>
        <v>4</v>
      </c>
      <c r="J11" s="22">
        <f t="shared" si="4"/>
        <v>6</v>
      </c>
      <c r="K11" s="16"/>
      <c r="L11" s="16"/>
      <c r="M11" s="16" t="s">
        <v>75</v>
      </c>
      <c r="N11" s="16"/>
      <c r="O11" s="16"/>
      <c r="P11" s="16"/>
      <c r="Q11" s="16"/>
      <c r="R11" s="16"/>
      <c r="S11" s="16"/>
      <c r="T11" s="16"/>
      <c r="U11" s="16"/>
      <c r="V11" s="16"/>
      <c r="W11" s="16"/>
      <c r="X11" s="16"/>
      <c r="Y11" s="16"/>
      <c r="Z11" s="16"/>
      <c r="AA11" s="16"/>
      <c r="AB11" s="16"/>
      <c r="AC11" s="16"/>
      <c r="AD11" s="16"/>
      <c r="AE11" s="16"/>
      <c r="AF11" s="16"/>
      <c r="AG11" s="16"/>
      <c r="AH11" s="16"/>
    </row>
    <row r="12" ht="15.75" customHeight="1">
      <c r="A12" s="1"/>
      <c r="B12" s="16" t="s">
        <v>177</v>
      </c>
      <c r="C12" s="16"/>
      <c r="D12" s="17"/>
      <c r="E12" s="18" t="s">
        <v>179</v>
      </c>
      <c r="F12" s="20"/>
      <c r="G12" s="22">
        <v>3.0</v>
      </c>
      <c r="H12" s="22">
        <v>3.0</v>
      </c>
      <c r="I12" s="22">
        <f t="shared" si="3"/>
        <v>3</v>
      </c>
      <c r="J12" s="22">
        <f t="shared" si="4"/>
        <v>6</v>
      </c>
      <c r="K12" s="16" t="s">
        <v>75</v>
      </c>
      <c r="L12" s="16"/>
      <c r="M12" s="16" t="s">
        <v>143</v>
      </c>
      <c r="N12" s="16"/>
      <c r="O12" s="16"/>
      <c r="P12" s="16"/>
      <c r="Q12" s="16"/>
      <c r="R12" s="16"/>
      <c r="S12" s="16"/>
      <c r="T12" s="16"/>
      <c r="U12" s="16"/>
      <c r="V12" s="16"/>
      <c r="W12" s="16"/>
      <c r="X12" s="16"/>
      <c r="Y12" s="16"/>
      <c r="Z12" s="16"/>
      <c r="AA12" s="16"/>
      <c r="AB12" s="16"/>
      <c r="AC12" s="16"/>
      <c r="AD12" s="16"/>
      <c r="AE12" s="16"/>
      <c r="AF12" s="16"/>
      <c r="AG12" s="16"/>
      <c r="AH12" s="16"/>
    </row>
    <row r="13" ht="15.75" customHeight="1">
      <c r="A13" s="1"/>
      <c r="B13" s="16" t="s">
        <v>195</v>
      </c>
      <c r="C13" s="16"/>
      <c r="D13" s="17"/>
      <c r="E13" s="18" t="s">
        <v>197</v>
      </c>
      <c r="F13" s="20"/>
      <c r="G13" s="22">
        <v>3.0</v>
      </c>
      <c r="H13" s="22">
        <v>2.0</v>
      </c>
      <c r="I13" s="22">
        <f t="shared" si="3"/>
        <v>4</v>
      </c>
      <c r="J13" s="22">
        <f t="shared" si="4"/>
        <v>7</v>
      </c>
      <c r="K13" s="16" t="s">
        <v>118</v>
      </c>
      <c r="L13" s="16"/>
      <c r="M13" s="16"/>
      <c r="N13" s="16"/>
      <c r="O13" s="16"/>
      <c r="P13" s="16"/>
      <c r="Q13" s="16"/>
      <c r="R13" s="16"/>
      <c r="S13" s="16"/>
      <c r="T13" s="16"/>
      <c r="U13" s="16"/>
      <c r="V13" s="16"/>
      <c r="W13" s="16"/>
      <c r="X13" s="16"/>
      <c r="Y13" s="16"/>
      <c r="Z13" s="16"/>
      <c r="AA13" s="16"/>
      <c r="AB13" s="16"/>
      <c r="AC13" s="16"/>
      <c r="AD13" s="16"/>
      <c r="AE13" s="16"/>
      <c r="AF13" s="16"/>
      <c r="AG13" s="16"/>
      <c r="AH13" s="16"/>
    </row>
    <row r="14" ht="15.75" customHeight="1">
      <c r="A14" s="1"/>
      <c r="B14" s="16" t="s">
        <v>207</v>
      </c>
      <c r="C14" s="16"/>
      <c r="D14" s="17"/>
      <c r="E14" s="18" t="s">
        <v>208</v>
      </c>
      <c r="F14" s="20"/>
      <c r="G14" s="22">
        <v>3.0</v>
      </c>
      <c r="H14" s="22">
        <v>5.0</v>
      </c>
      <c r="I14" s="22">
        <f t="shared" si="3"/>
        <v>1</v>
      </c>
      <c r="J14" s="22">
        <f t="shared" si="4"/>
        <v>4</v>
      </c>
      <c r="K14" s="16" t="s">
        <v>75</v>
      </c>
      <c r="L14" s="16"/>
      <c r="M14" s="16"/>
      <c r="N14" s="16"/>
      <c r="O14" s="16"/>
      <c r="P14" s="16"/>
      <c r="Q14" s="16"/>
      <c r="R14" s="16"/>
      <c r="S14" s="16"/>
      <c r="T14" s="16"/>
      <c r="U14" s="16"/>
      <c r="V14" s="16"/>
      <c r="W14" s="16" t="s">
        <v>75</v>
      </c>
      <c r="X14" s="16"/>
      <c r="Y14" s="16"/>
      <c r="Z14" s="16"/>
      <c r="AA14" s="16"/>
      <c r="AB14" s="16"/>
      <c r="AC14" s="16"/>
      <c r="AD14" s="16"/>
      <c r="AE14" s="16"/>
      <c r="AF14" s="16"/>
      <c r="AG14" s="16"/>
      <c r="AH14" s="16"/>
    </row>
    <row r="15" ht="15.75" customHeight="1">
      <c r="A15" s="1"/>
      <c r="B15" s="16" t="s">
        <v>213</v>
      </c>
      <c r="C15" s="16"/>
      <c r="D15" s="17"/>
      <c r="E15" s="18"/>
      <c r="F15" s="20"/>
      <c r="G15" s="22"/>
      <c r="H15" s="22"/>
      <c r="I15" s="22"/>
      <c r="J15" s="22"/>
      <c r="K15" s="16"/>
      <c r="L15" s="16"/>
      <c r="M15" s="16"/>
      <c r="N15" s="16"/>
      <c r="O15" s="16"/>
      <c r="P15" s="16"/>
      <c r="Q15" s="16"/>
      <c r="R15" s="16"/>
      <c r="S15" s="16"/>
      <c r="T15" s="16"/>
      <c r="U15" s="16"/>
      <c r="V15" s="16"/>
      <c r="W15" s="16"/>
      <c r="X15" s="16"/>
      <c r="Y15" s="16"/>
      <c r="Z15" s="16"/>
      <c r="AA15" s="16"/>
      <c r="AB15" s="16"/>
      <c r="AC15" s="16"/>
      <c r="AD15" s="16"/>
      <c r="AE15" s="16"/>
      <c r="AF15" s="16"/>
      <c r="AG15" s="16"/>
      <c r="AH15" s="16"/>
    </row>
    <row r="16" ht="15.75" customHeight="1">
      <c r="A16" s="1"/>
      <c r="B16" s="16"/>
      <c r="C16" s="28" t="s">
        <v>222</v>
      </c>
      <c r="D16" s="17"/>
      <c r="E16" s="18" t="s">
        <v>224</v>
      </c>
      <c r="F16" s="20"/>
      <c r="G16" s="22">
        <v>3.0</v>
      </c>
      <c r="H16" s="22">
        <v>1.0</v>
      </c>
      <c r="I16" s="22">
        <f t="shared" ref="I16:I18" si="5">6-H16</f>
        <v>5</v>
      </c>
      <c r="J16" s="22">
        <f t="shared" ref="J16:J18" si="6">I16+G16</f>
        <v>8</v>
      </c>
      <c r="K16" s="16" t="s">
        <v>118</v>
      </c>
      <c r="L16" s="16"/>
      <c r="M16" s="16" t="s">
        <v>75</v>
      </c>
      <c r="N16" s="16"/>
      <c r="O16" s="16"/>
      <c r="P16" s="16"/>
      <c r="Q16" s="16"/>
      <c r="R16" s="16"/>
      <c r="S16" s="16"/>
      <c r="T16" s="16"/>
      <c r="U16" s="16"/>
      <c r="V16" s="16"/>
      <c r="W16" s="16"/>
      <c r="X16" s="16"/>
      <c r="Y16" s="16"/>
      <c r="Z16" s="16"/>
      <c r="AA16" s="16"/>
      <c r="AB16" s="16"/>
      <c r="AC16" s="16"/>
      <c r="AD16" s="16"/>
      <c r="AE16" s="16"/>
      <c r="AF16" s="16"/>
      <c r="AG16" s="16"/>
      <c r="AH16" s="16"/>
    </row>
    <row r="17" ht="15.75" customHeight="1" collapsed="1">
      <c r="A17" s="1"/>
      <c r="B17" s="16"/>
      <c r="C17" s="28" t="s">
        <v>235</v>
      </c>
      <c r="D17" s="17"/>
      <c r="E17" s="18" t="s">
        <v>236</v>
      </c>
      <c r="F17" s="20"/>
      <c r="G17" s="22">
        <v>1.0</v>
      </c>
      <c r="H17" s="22">
        <v>1.0</v>
      </c>
      <c r="I17" s="22">
        <f t="shared" si="5"/>
        <v>5</v>
      </c>
      <c r="J17" s="22">
        <f t="shared" si="6"/>
        <v>6</v>
      </c>
      <c r="K17" s="16" t="s">
        <v>75</v>
      </c>
      <c r="L17" s="16"/>
      <c r="M17" s="16" t="s">
        <v>119</v>
      </c>
      <c r="N17" s="16"/>
      <c r="O17" s="16"/>
      <c r="P17" s="16"/>
      <c r="Q17" s="16"/>
      <c r="R17" s="16"/>
      <c r="S17" s="16"/>
      <c r="T17" s="16"/>
      <c r="U17" s="16"/>
      <c r="V17" s="16"/>
      <c r="W17" s="16"/>
      <c r="X17" s="16" t="s">
        <v>75</v>
      </c>
      <c r="Y17" s="16"/>
      <c r="Z17" s="16"/>
      <c r="AA17" s="16"/>
      <c r="AB17" s="16"/>
      <c r="AC17" s="16"/>
      <c r="AD17" s="16"/>
      <c r="AE17" s="16"/>
      <c r="AF17" s="16"/>
      <c r="AG17" s="16"/>
      <c r="AH17" s="16"/>
    </row>
    <row r="18" ht="15.75" hidden="1" customHeight="1" outlineLevel="1">
      <c r="A18" s="1"/>
      <c r="B18" s="16"/>
      <c r="C18" s="28" t="s">
        <v>244</v>
      </c>
      <c r="D18" s="17"/>
      <c r="E18" s="18" t="s">
        <v>245</v>
      </c>
      <c r="F18" s="20"/>
      <c r="G18" s="22">
        <v>3.0</v>
      </c>
      <c r="H18" s="22">
        <v>1.0</v>
      </c>
      <c r="I18" s="22">
        <f t="shared" si="5"/>
        <v>5</v>
      </c>
      <c r="J18" s="22">
        <f t="shared" si="6"/>
        <v>8</v>
      </c>
      <c r="K18" s="16"/>
      <c r="L18" s="16"/>
      <c r="M18" s="16" t="s">
        <v>75</v>
      </c>
      <c r="N18" s="16"/>
      <c r="O18" s="16"/>
      <c r="P18" s="16"/>
      <c r="Q18" s="16"/>
      <c r="R18" s="16"/>
      <c r="S18" s="16"/>
      <c r="T18" s="16"/>
      <c r="U18" s="16"/>
      <c r="V18" s="16"/>
      <c r="W18" s="16"/>
      <c r="X18" s="16"/>
      <c r="Y18" s="16"/>
      <c r="Z18" s="16"/>
      <c r="AA18" s="16"/>
      <c r="AB18" s="16"/>
      <c r="AC18" s="16"/>
      <c r="AD18" s="16"/>
      <c r="AE18" s="16"/>
      <c r="AF18" s="16"/>
      <c r="AG18" s="16"/>
      <c r="AH18" s="16"/>
    </row>
    <row r="19" ht="15.75" customHeight="1">
      <c r="A19" s="1"/>
      <c r="B19" s="16"/>
      <c r="C19" s="16"/>
      <c r="D19" s="17"/>
      <c r="E19" s="18"/>
      <c r="F19" s="20"/>
      <c r="G19" s="22"/>
      <c r="H19" s="22"/>
      <c r="I19" s="22"/>
      <c r="J19" s="22"/>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ht="15.75" customHeight="1">
      <c r="A20" s="1"/>
      <c r="B20" s="16"/>
      <c r="C20" s="16"/>
      <c r="D20" s="17"/>
      <c r="E20" s="18"/>
      <c r="F20" s="20"/>
      <c r="G20" s="22"/>
      <c r="H20" s="22"/>
      <c r="I20" s="22"/>
      <c r="J20" s="22"/>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ht="15.75" customHeight="1">
      <c r="A21" s="1"/>
      <c r="B21" s="16"/>
      <c r="C21" s="16"/>
      <c r="D21" s="17"/>
      <c r="E21" s="18"/>
      <c r="F21" s="20"/>
      <c r="G21" s="22"/>
      <c r="H21" s="22"/>
      <c r="I21" s="22"/>
      <c r="J21" s="22"/>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ht="15.75" customHeight="1">
      <c r="A22" s="1"/>
      <c r="B22" s="16"/>
      <c r="C22" s="16"/>
      <c r="D22" s="17"/>
      <c r="E22" s="18"/>
      <c r="F22" s="20"/>
      <c r="G22" s="22"/>
      <c r="H22" s="22"/>
      <c r="I22" s="22"/>
      <c r="J22" s="22"/>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ht="15.75" customHeight="1">
      <c r="A23" s="1" t="s">
        <v>15</v>
      </c>
      <c r="B23" s="16"/>
      <c r="C23" s="16"/>
      <c r="D23" s="17"/>
      <c r="E23" s="18"/>
      <c r="F23" s="20"/>
      <c r="G23" s="22"/>
      <c r="H23" s="22"/>
      <c r="I23" s="22"/>
      <c r="J23" s="22"/>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ht="15.75" customHeight="1">
      <c r="A24" s="1"/>
      <c r="B24" s="16" t="s">
        <v>23</v>
      </c>
      <c r="C24" s="16"/>
      <c r="D24" s="17" t="s">
        <v>21</v>
      </c>
      <c r="E24" s="18"/>
      <c r="F24" s="20"/>
      <c r="G24" s="22"/>
      <c r="H24" s="22"/>
      <c r="I24" s="22"/>
      <c r="J24" s="22"/>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ht="15.75" customHeight="1">
      <c r="A25" s="1"/>
      <c r="B25" s="15"/>
      <c r="C25" s="28" t="s">
        <v>273</v>
      </c>
      <c r="D25" s="17"/>
      <c r="E25" s="53" t="s">
        <v>274</v>
      </c>
      <c r="F25" s="54"/>
      <c r="G25" s="22">
        <v>2.0</v>
      </c>
      <c r="H25" s="22">
        <v>2.0</v>
      </c>
      <c r="I25" s="22">
        <f t="shared" ref="I25:I27" si="7">6-H25</f>
        <v>4</v>
      </c>
      <c r="J25" s="22">
        <f t="shared" ref="J25:J27" si="8">I25+G25</f>
        <v>6</v>
      </c>
      <c r="K25" s="16" t="s">
        <v>75</v>
      </c>
      <c r="L25" s="16"/>
      <c r="M25" s="16" t="s">
        <v>143</v>
      </c>
      <c r="N25" s="16"/>
      <c r="O25" s="16"/>
      <c r="P25" s="16"/>
      <c r="Q25" s="16"/>
      <c r="R25" s="16"/>
      <c r="S25" s="16"/>
      <c r="T25" s="16"/>
      <c r="U25" s="16"/>
      <c r="V25" s="16"/>
      <c r="W25" s="16"/>
      <c r="X25" s="16"/>
      <c r="Y25" s="16"/>
      <c r="Z25" s="16"/>
      <c r="AA25" s="16"/>
      <c r="AB25" s="16"/>
      <c r="AC25" s="16"/>
      <c r="AD25" s="16"/>
      <c r="AE25" s="16"/>
      <c r="AF25" s="16"/>
      <c r="AG25" s="16"/>
      <c r="AH25" s="16"/>
    </row>
    <row r="26" ht="15.75" customHeight="1">
      <c r="A26" s="1"/>
      <c r="B26" s="15"/>
      <c r="C26" s="16" t="s">
        <v>280</v>
      </c>
      <c r="D26" s="17"/>
      <c r="E26" s="55" t="s">
        <v>281</v>
      </c>
      <c r="F26" s="54"/>
      <c r="G26" s="22">
        <v>1.0</v>
      </c>
      <c r="H26" s="22">
        <v>2.0</v>
      </c>
      <c r="I26" s="22">
        <f t="shared" si="7"/>
        <v>4</v>
      </c>
      <c r="J26" s="22">
        <f t="shared" si="8"/>
        <v>5</v>
      </c>
      <c r="K26" s="16" t="s">
        <v>118</v>
      </c>
      <c r="L26" s="16"/>
      <c r="M26" s="16"/>
      <c r="N26" s="16"/>
      <c r="O26" s="16"/>
      <c r="P26" s="16"/>
      <c r="Q26" s="16"/>
      <c r="R26" s="16"/>
      <c r="S26" s="16"/>
      <c r="T26" s="16"/>
      <c r="U26" s="16"/>
      <c r="V26" s="16"/>
      <c r="W26" s="16"/>
      <c r="X26" s="16"/>
      <c r="Y26" s="16"/>
      <c r="Z26" s="16"/>
      <c r="AA26" s="16"/>
      <c r="AB26" s="16"/>
      <c r="AC26" s="16"/>
      <c r="AD26" s="16"/>
      <c r="AE26" s="16"/>
      <c r="AF26" s="16"/>
      <c r="AG26" s="16"/>
      <c r="AH26" s="16"/>
    </row>
    <row r="27" ht="15.75" customHeight="1">
      <c r="A27" s="1"/>
      <c r="C27" s="15" t="s">
        <v>286</v>
      </c>
      <c r="D27" s="17" t="s">
        <v>32</v>
      </c>
      <c r="E27" s="53" t="s">
        <v>287</v>
      </c>
      <c r="F27" s="56" t="s">
        <v>288</v>
      </c>
      <c r="G27" s="22">
        <v>4.0</v>
      </c>
      <c r="H27" s="22">
        <v>3.0</v>
      </c>
      <c r="I27" s="22">
        <f t="shared" si="7"/>
        <v>3</v>
      </c>
      <c r="J27" s="22">
        <f t="shared" si="8"/>
        <v>7</v>
      </c>
      <c r="K27" s="16" t="s">
        <v>143</v>
      </c>
      <c r="L27" s="16"/>
      <c r="M27" s="16" t="s">
        <v>143</v>
      </c>
      <c r="N27" s="16"/>
      <c r="O27" s="16"/>
      <c r="P27" s="16"/>
      <c r="Q27" s="16"/>
      <c r="R27" s="16"/>
      <c r="S27" s="16"/>
      <c r="T27" s="16"/>
      <c r="U27" s="16"/>
      <c r="V27" s="16"/>
      <c r="W27" s="16"/>
      <c r="X27" s="16"/>
      <c r="Y27" s="16"/>
      <c r="Z27" s="16"/>
      <c r="AA27" s="16"/>
      <c r="AB27" s="16"/>
      <c r="AC27" s="16"/>
      <c r="AD27" s="16"/>
      <c r="AE27" s="16"/>
      <c r="AF27" s="16"/>
      <c r="AG27" s="16"/>
      <c r="AH27" s="16"/>
    </row>
    <row r="28" ht="15.75" customHeight="1">
      <c r="A28" s="1"/>
      <c r="B28" s="16" t="s">
        <v>311</v>
      </c>
      <c r="C28" s="16"/>
      <c r="D28" s="17" t="s">
        <v>32</v>
      </c>
      <c r="E28" s="18"/>
      <c r="F28" s="20"/>
      <c r="G28" s="22"/>
      <c r="H28" s="22"/>
      <c r="I28" s="22"/>
      <c r="J28" s="22"/>
      <c r="K28" s="16"/>
      <c r="L28" s="16"/>
      <c r="M28" s="16"/>
      <c r="N28" s="16"/>
      <c r="O28" s="16"/>
      <c r="P28" s="16"/>
      <c r="Q28" s="16"/>
      <c r="R28" s="16"/>
      <c r="S28" s="16"/>
      <c r="T28" s="16"/>
      <c r="U28" s="16"/>
      <c r="V28" s="16"/>
      <c r="W28" s="16"/>
      <c r="X28" s="16"/>
      <c r="Y28" s="16"/>
      <c r="Z28" s="16"/>
      <c r="AA28" s="16"/>
      <c r="AB28" s="16"/>
      <c r="AC28" s="16"/>
      <c r="AD28" s="16"/>
      <c r="AE28" s="16"/>
      <c r="AF28" s="16"/>
      <c r="AG28" s="16"/>
      <c r="AH28" s="16"/>
    </row>
    <row r="29" ht="15.75" customHeight="1">
      <c r="A29" s="1"/>
      <c r="B29" s="16"/>
      <c r="C29" s="16" t="s">
        <v>317</v>
      </c>
      <c r="D29" s="17"/>
      <c r="E29" s="55" t="s">
        <v>318</v>
      </c>
      <c r="G29" s="22">
        <v>3.0</v>
      </c>
      <c r="H29" s="22">
        <v>3.0</v>
      </c>
      <c r="I29" s="22">
        <f>6-H29</f>
        <v>3</v>
      </c>
      <c r="J29" s="22">
        <f>I29+G29</f>
        <v>6</v>
      </c>
      <c r="K29" s="16" t="s">
        <v>118</v>
      </c>
      <c r="L29" s="16"/>
      <c r="M29" s="16"/>
      <c r="N29" s="16"/>
      <c r="O29" s="16"/>
      <c r="P29" s="16"/>
      <c r="Q29" s="16"/>
      <c r="R29" s="16"/>
      <c r="S29" s="16"/>
      <c r="T29" s="16"/>
      <c r="U29" s="16"/>
      <c r="V29" s="16"/>
      <c r="W29" s="16"/>
      <c r="X29" s="16"/>
      <c r="Y29" s="16"/>
      <c r="Z29" s="16"/>
      <c r="AA29" s="16"/>
      <c r="AB29" s="16"/>
      <c r="AC29" s="16"/>
      <c r="AD29" s="16"/>
      <c r="AE29" s="16"/>
      <c r="AF29" s="16"/>
      <c r="AG29" s="16"/>
      <c r="AH29" s="16"/>
    </row>
    <row r="30" ht="15.75" customHeight="1">
      <c r="A30" s="1"/>
      <c r="B30" s="16"/>
      <c r="C30" s="16" t="s">
        <v>317</v>
      </c>
      <c r="D30" s="17"/>
      <c r="E30" s="55" t="s">
        <v>322</v>
      </c>
      <c r="F30" s="20"/>
      <c r="G30" s="22"/>
      <c r="H30" s="22"/>
      <c r="I30" s="22"/>
      <c r="J30" s="22"/>
      <c r="K30" s="16" t="s">
        <v>118</v>
      </c>
      <c r="L30" s="16"/>
      <c r="M30" s="16"/>
      <c r="N30" s="16"/>
      <c r="O30" s="16"/>
      <c r="P30" s="16"/>
      <c r="Q30" s="16"/>
      <c r="R30" s="16"/>
      <c r="S30" s="16"/>
      <c r="T30" s="16"/>
      <c r="U30" s="16"/>
      <c r="V30" s="16"/>
      <c r="W30" s="16"/>
      <c r="X30" s="16"/>
      <c r="Y30" s="16"/>
      <c r="Z30" s="16"/>
      <c r="AA30" s="16"/>
      <c r="AB30" s="16"/>
      <c r="AC30" s="16"/>
      <c r="AD30" s="16"/>
      <c r="AE30" s="16"/>
      <c r="AF30" s="16"/>
      <c r="AG30" s="16"/>
      <c r="AH30" s="16"/>
    </row>
    <row r="31" ht="15.75" customHeight="1">
      <c r="A31" s="1"/>
      <c r="B31" s="16"/>
      <c r="C31" s="16" t="s">
        <v>323</v>
      </c>
      <c r="D31" s="17"/>
      <c r="E31" s="55" t="s">
        <v>324</v>
      </c>
      <c r="F31" s="20"/>
      <c r="G31" s="22">
        <v>2.0</v>
      </c>
      <c r="H31" s="22">
        <v>2.0</v>
      </c>
      <c r="I31" s="22">
        <f>6-H31</f>
        <v>4</v>
      </c>
      <c r="J31" s="22">
        <f>I31+G31</f>
        <v>6</v>
      </c>
      <c r="K31" s="16" t="s">
        <v>75</v>
      </c>
      <c r="L31" s="16"/>
      <c r="M31" s="16"/>
      <c r="N31" s="16"/>
      <c r="O31" s="16"/>
      <c r="P31" s="16"/>
      <c r="Q31" s="16"/>
      <c r="R31" s="16"/>
      <c r="S31" s="16"/>
      <c r="T31" s="16"/>
      <c r="U31" s="16"/>
      <c r="V31" s="16"/>
      <c r="W31" s="16"/>
      <c r="X31" s="16"/>
      <c r="Y31" s="16"/>
      <c r="Z31" s="16"/>
      <c r="AA31" s="16"/>
      <c r="AB31" s="16"/>
      <c r="AC31" s="16"/>
      <c r="AD31" s="16"/>
      <c r="AE31" s="16"/>
      <c r="AF31" s="16"/>
      <c r="AG31" s="16"/>
      <c r="AH31" s="16"/>
    </row>
    <row r="32" ht="15.75" customHeight="1">
      <c r="A32" s="1"/>
      <c r="B32" s="16"/>
      <c r="C32" s="16" t="s">
        <v>329</v>
      </c>
      <c r="D32" s="17"/>
      <c r="E32" s="55" t="s">
        <v>331</v>
      </c>
      <c r="F32" s="20"/>
      <c r="G32" s="22"/>
      <c r="H32" s="22"/>
      <c r="I32" s="22"/>
      <c r="J32" s="22"/>
      <c r="K32" s="16" t="s">
        <v>93</v>
      </c>
      <c r="L32" s="16"/>
      <c r="M32" s="16"/>
      <c r="N32" s="16"/>
      <c r="O32" s="16"/>
      <c r="P32" s="16"/>
      <c r="Q32" s="16"/>
      <c r="R32" s="16"/>
      <c r="S32" s="16"/>
      <c r="T32" s="16"/>
      <c r="U32" s="16"/>
      <c r="V32" s="16"/>
      <c r="W32" s="16"/>
      <c r="X32" s="16"/>
      <c r="Y32" s="16"/>
      <c r="Z32" s="16"/>
      <c r="AA32" s="16"/>
      <c r="AB32" s="16"/>
      <c r="AC32" s="16"/>
      <c r="AD32" s="16"/>
      <c r="AE32" s="16"/>
      <c r="AF32" s="16"/>
      <c r="AG32" s="16"/>
      <c r="AH32" s="16"/>
    </row>
    <row r="33" ht="15.75" customHeight="1" collapsed="1">
      <c r="A33" s="1"/>
      <c r="B33" s="16"/>
      <c r="C33" s="16" t="s">
        <v>335</v>
      </c>
      <c r="D33" s="17"/>
      <c r="E33" s="55" t="s">
        <v>336</v>
      </c>
      <c r="F33" s="57" t="s">
        <v>337</v>
      </c>
      <c r="G33" s="22">
        <v>4.0</v>
      </c>
      <c r="H33" s="22">
        <v>4.0</v>
      </c>
      <c r="I33" s="22">
        <f t="shared" ref="I33:I34" si="9">6-H33</f>
        <v>2</v>
      </c>
      <c r="J33" s="22">
        <f t="shared" ref="J33:J34" si="10">I33+G33</f>
        <v>6</v>
      </c>
      <c r="K33" s="16" t="s">
        <v>118</v>
      </c>
      <c r="L33" s="16"/>
      <c r="M33" s="16" t="s">
        <v>339</v>
      </c>
      <c r="N33" s="16"/>
      <c r="O33" s="16"/>
      <c r="P33" s="16"/>
      <c r="Q33" s="16"/>
      <c r="R33" s="16"/>
      <c r="S33" s="16"/>
      <c r="T33" s="16"/>
      <c r="U33" s="16"/>
      <c r="V33" s="16"/>
      <c r="W33" s="16"/>
      <c r="X33" s="16"/>
      <c r="Y33" s="16"/>
      <c r="Z33" s="16"/>
      <c r="AA33" s="16"/>
      <c r="AB33" s="16"/>
      <c r="AC33" s="16"/>
      <c r="AD33" s="16"/>
      <c r="AE33" s="16"/>
      <c r="AF33" s="16"/>
      <c r="AG33" s="16"/>
      <c r="AH33" s="16"/>
    </row>
    <row r="34" ht="15.75" hidden="1" customHeight="1" outlineLevel="1">
      <c r="A34" s="1"/>
      <c r="B34" s="16"/>
      <c r="C34" s="16" t="s">
        <v>340</v>
      </c>
      <c r="D34" s="17"/>
      <c r="E34" s="18" t="s">
        <v>341</v>
      </c>
      <c r="F34" s="20"/>
      <c r="G34" s="22">
        <v>3.0</v>
      </c>
      <c r="H34" s="22">
        <v>2.0</v>
      </c>
      <c r="I34" s="22">
        <f t="shared" si="9"/>
        <v>4</v>
      </c>
      <c r="J34" s="22">
        <f t="shared" si="10"/>
        <v>7</v>
      </c>
      <c r="K34" s="16"/>
      <c r="L34" s="16"/>
      <c r="M34" s="16" t="s">
        <v>75</v>
      </c>
      <c r="N34" s="16"/>
      <c r="O34" s="16"/>
      <c r="P34" s="16"/>
      <c r="Q34" s="16"/>
      <c r="R34" s="16"/>
      <c r="S34" s="16"/>
      <c r="T34" s="16"/>
      <c r="U34" s="16"/>
      <c r="V34" s="16"/>
      <c r="W34" s="16"/>
      <c r="X34" s="16"/>
      <c r="Y34" s="16"/>
      <c r="Z34" s="16"/>
      <c r="AA34" s="16"/>
      <c r="AB34" s="16"/>
      <c r="AC34" s="16"/>
      <c r="AD34" s="16"/>
      <c r="AE34" s="16"/>
      <c r="AF34" s="16"/>
      <c r="AG34" s="16"/>
      <c r="AH34" s="16"/>
    </row>
    <row r="35" ht="15.75" customHeight="1">
      <c r="A35" s="1"/>
      <c r="B35" s="16" t="s">
        <v>346</v>
      </c>
      <c r="C35" s="16"/>
      <c r="D35" s="17" t="s">
        <v>32</v>
      </c>
      <c r="E35" s="18" t="s">
        <v>348</v>
      </c>
      <c r="F35" s="20"/>
      <c r="G35" s="22"/>
      <c r="H35" s="22"/>
      <c r="I35" s="22"/>
      <c r="J35" s="22"/>
      <c r="K35" s="16"/>
      <c r="L35" s="16"/>
      <c r="M35" s="16"/>
      <c r="N35" s="16"/>
      <c r="O35" s="16"/>
      <c r="P35" s="16"/>
      <c r="Q35" s="16"/>
      <c r="R35" s="16"/>
      <c r="S35" s="16"/>
      <c r="T35" s="16"/>
      <c r="U35" s="16"/>
      <c r="V35" s="16"/>
      <c r="W35" s="16"/>
      <c r="X35" s="16"/>
      <c r="Y35" s="16"/>
      <c r="Z35" s="16"/>
      <c r="AA35" s="16"/>
      <c r="AB35" s="16"/>
      <c r="AC35" s="16"/>
      <c r="AD35" s="16"/>
      <c r="AE35" s="16"/>
      <c r="AF35" s="16"/>
      <c r="AG35" s="16"/>
      <c r="AH35" s="16"/>
    </row>
    <row r="36" ht="15.75" customHeight="1">
      <c r="A36" s="1"/>
      <c r="B36" s="16"/>
      <c r="C36" s="16" t="s">
        <v>353</v>
      </c>
      <c r="D36" s="17"/>
      <c r="E36" s="18"/>
      <c r="F36" s="20"/>
      <c r="G36" s="22">
        <v>2.0</v>
      </c>
      <c r="H36" s="22">
        <v>4.0</v>
      </c>
      <c r="I36" s="22">
        <f t="shared" ref="I36:I37" si="11">6-H36</f>
        <v>2</v>
      </c>
      <c r="J36" s="22">
        <f t="shared" ref="J36:J37" si="12">I36+G36</f>
        <v>4</v>
      </c>
      <c r="K36" s="16" t="s">
        <v>75</v>
      </c>
      <c r="L36" s="16"/>
      <c r="M36" s="16"/>
      <c r="N36" s="16"/>
      <c r="O36" s="16"/>
      <c r="P36" s="16"/>
      <c r="Q36" s="16"/>
      <c r="R36" s="16"/>
      <c r="S36" s="16"/>
      <c r="T36" s="16"/>
      <c r="U36" s="16"/>
      <c r="V36" s="16"/>
      <c r="W36" s="16"/>
      <c r="X36" s="16"/>
      <c r="Y36" s="16"/>
      <c r="Z36" s="16"/>
      <c r="AA36" s="16"/>
      <c r="AB36" s="16"/>
      <c r="AC36" s="16"/>
      <c r="AD36" s="16"/>
      <c r="AE36" s="16"/>
      <c r="AF36" s="16"/>
      <c r="AG36" s="16"/>
      <c r="AH36" s="16"/>
    </row>
    <row r="37" ht="15.75" customHeight="1">
      <c r="A37" s="1"/>
      <c r="B37" s="16"/>
      <c r="C37" s="16" t="s">
        <v>357</v>
      </c>
      <c r="D37" s="17"/>
      <c r="E37" s="18"/>
      <c r="F37" s="20"/>
      <c r="G37" s="22">
        <v>2.0</v>
      </c>
      <c r="H37" s="22">
        <v>4.0</v>
      </c>
      <c r="I37" s="22">
        <f t="shared" si="11"/>
        <v>2</v>
      </c>
      <c r="J37" s="22">
        <f t="shared" si="12"/>
        <v>4</v>
      </c>
      <c r="K37" s="16" t="s">
        <v>75</v>
      </c>
      <c r="L37" s="16"/>
      <c r="M37" s="16"/>
      <c r="N37" s="16"/>
      <c r="O37" s="16"/>
      <c r="P37" s="16"/>
      <c r="Q37" s="16"/>
      <c r="R37" s="16"/>
      <c r="S37" s="16"/>
      <c r="T37" s="16"/>
      <c r="U37" s="16"/>
      <c r="V37" s="16"/>
      <c r="W37" s="16"/>
      <c r="X37" s="16"/>
      <c r="Y37" s="16"/>
      <c r="Z37" s="16"/>
      <c r="AA37" s="16"/>
      <c r="AB37" s="16"/>
      <c r="AC37" s="16"/>
      <c r="AD37" s="16"/>
      <c r="AE37" s="16"/>
      <c r="AF37" s="16"/>
      <c r="AG37" s="16"/>
      <c r="AH37" s="16"/>
    </row>
    <row r="38" ht="15.75" customHeight="1">
      <c r="A38" s="1"/>
      <c r="B38" s="16" t="s">
        <v>38</v>
      </c>
      <c r="C38" s="16"/>
      <c r="D38" s="17" t="s">
        <v>28</v>
      </c>
      <c r="E38" s="18" t="s">
        <v>358</v>
      </c>
      <c r="F38" s="20"/>
      <c r="G38" s="22"/>
      <c r="H38" s="22"/>
      <c r="I38" s="22"/>
      <c r="J38" s="22"/>
      <c r="K38" s="16"/>
      <c r="L38" s="16"/>
      <c r="M38" s="16"/>
      <c r="N38" s="16"/>
      <c r="O38" s="16"/>
      <c r="P38" s="16"/>
      <c r="Q38" s="16"/>
      <c r="R38" s="16"/>
      <c r="S38" s="16"/>
      <c r="T38" s="16"/>
      <c r="U38" s="16"/>
      <c r="V38" s="16"/>
      <c r="W38" s="16"/>
      <c r="X38" s="16"/>
      <c r="Y38" s="16"/>
      <c r="Z38" s="16"/>
      <c r="AA38" s="16"/>
      <c r="AB38" s="16"/>
      <c r="AC38" s="16"/>
      <c r="AD38" s="16"/>
      <c r="AE38" s="16"/>
      <c r="AF38" s="16"/>
      <c r="AG38" s="16"/>
      <c r="AH38" s="16"/>
    </row>
    <row r="39" ht="15.75" customHeight="1">
      <c r="A39" s="1"/>
      <c r="B39" s="16"/>
      <c r="C39" s="67" t="s">
        <v>363</v>
      </c>
      <c r="D39" s="17"/>
      <c r="E39" s="55" t="s">
        <v>43</v>
      </c>
      <c r="F39" s="20"/>
      <c r="G39" s="22">
        <v>3.0</v>
      </c>
      <c r="H39" s="22">
        <v>4.0</v>
      </c>
      <c r="I39" s="22">
        <f t="shared" ref="I39:I41" si="13">6-H39</f>
        <v>2</v>
      </c>
      <c r="J39" s="22">
        <f t="shared" ref="J39:J41" si="14">I39+G39</f>
        <v>5</v>
      </c>
      <c r="K39" s="16" t="s">
        <v>75</v>
      </c>
      <c r="L39" s="16"/>
      <c r="M39" s="16"/>
      <c r="N39" s="16"/>
      <c r="O39" s="16"/>
      <c r="P39" s="16"/>
      <c r="Q39" s="16"/>
      <c r="R39" s="16"/>
      <c r="S39" s="16"/>
      <c r="T39" s="16"/>
      <c r="U39" s="16"/>
      <c r="V39" s="16"/>
      <c r="W39" s="16"/>
      <c r="X39" s="16"/>
      <c r="Y39" s="16"/>
      <c r="Z39" s="16"/>
      <c r="AA39" s="16"/>
      <c r="AB39" s="16"/>
      <c r="AC39" s="16"/>
      <c r="AD39" s="16"/>
      <c r="AE39" s="16"/>
      <c r="AF39" s="16"/>
      <c r="AG39" s="16"/>
      <c r="AH39" s="16"/>
    </row>
    <row r="40" ht="15.75" customHeight="1">
      <c r="A40" s="1"/>
      <c r="B40" s="16"/>
      <c r="C40" s="67" t="s">
        <v>368</v>
      </c>
      <c r="D40" s="17"/>
      <c r="E40" s="55" t="s">
        <v>369</v>
      </c>
      <c r="F40" s="20"/>
      <c r="G40" s="22">
        <v>3.0</v>
      </c>
      <c r="H40" s="22">
        <v>4.0</v>
      </c>
      <c r="I40" s="22">
        <f t="shared" si="13"/>
        <v>2</v>
      </c>
      <c r="J40" s="22">
        <f t="shared" si="14"/>
        <v>5</v>
      </c>
      <c r="K40" s="16" t="s">
        <v>143</v>
      </c>
      <c r="L40" s="16"/>
      <c r="M40" s="16"/>
      <c r="N40" s="16"/>
      <c r="O40" s="16"/>
      <c r="P40" s="16"/>
      <c r="Q40" s="16"/>
      <c r="R40" s="16"/>
      <c r="S40" s="16"/>
      <c r="T40" s="16"/>
      <c r="U40" s="16"/>
      <c r="V40" s="16"/>
      <c r="W40" s="16"/>
      <c r="X40" s="16"/>
      <c r="Y40" s="16"/>
      <c r="Z40" s="16"/>
      <c r="AA40" s="16"/>
      <c r="AB40" s="16"/>
      <c r="AC40" s="16"/>
      <c r="AD40" s="16"/>
      <c r="AE40" s="16"/>
      <c r="AF40" s="16"/>
      <c r="AG40" s="16"/>
      <c r="AH40" s="16"/>
    </row>
    <row r="41" ht="15.75" customHeight="1">
      <c r="A41" s="1"/>
      <c r="B41" s="16"/>
      <c r="C41" s="67" t="s">
        <v>375</v>
      </c>
      <c r="D41" s="17"/>
      <c r="E41" s="55" t="s">
        <v>50</v>
      </c>
      <c r="F41" s="20"/>
      <c r="G41" s="22">
        <v>3.0</v>
      </c>
      <c r="H41" s="22">
        <v>4.0</v>
      </c>
      <c r="I41" s="22">
        <f t="shared" si="13"/>
        <v>2</v>
      </c>
      <c r="J41" s="22">
        <f t="shared" si="14"/>
        <v>5</v>
      </c>
      <c r="K41" s="16" t="s">
        <v>143</v>
      </c>
      <c r="L41" s="16"/>
      <c r="M41" s="16"/>
      <c r="N41" s="16"/>
      <c r="O41" s="16"/>
      <c r="P41" s="16"/>
      <c r="Q41" s="16"/>
      <c r="R41" s="16"/>
      <c r="S41" s="16"/>
      <c r="T41" s="16"/>
      <c r="U41" s="16"/>
      <c r="V41" s="16"/>
      <c r="W41" s="16"/>
      <c r="X41" s="16"/>
      <c r="Y41" s="16"/>
      <c r="Z41" s="16"/>
      <c r="AA41" s="16"/>
      <c r="AB41" s="16"/>
      <c r="AC41" s="16"/>
      <c r="AD41" s="16"/>
      <c r="AE41" s="16"/>
      <c r="AF41" s="16"/>
      <c r="AG41" s="16"/>
      <c r="AH41" s="16"/>
    </row>
    <row r="42" ht="15.75" customHeight="1">
      <c r="A42" s="1"/>
      <c r="B42" s="16"/>
      <c r="C42" s="67" t="s">
        <v>376</v>
      </c>
      <c r="D42" s="17"/>
      <c r="E42" s="55" t="s">
        <v>43</v>
      </c>
      <c r="F42" s="20"/>
      <c r="G42" s="22"/>
      <c r="H42" s="22"/>
      <c r="I42" s="22"/>
      <c r="J42" s="22"/>
      <c r="K42" s="16"/>
      <c r="L42" s="16"/>
      <c r="M42" s="16"/>
      <c r="N42" s="16"/>
      <c r="O42" s="16"/>
      <c r="P42" s="16"/>
      <c r="Q42" s="16"/>
      <c r="R42" s="16"/>
      <c r="S42" s="16"/>
      <c r="T42" s="16"/>
      <c r="U42" s="16"/>
      <c r="V42" s="16"/>
      <c r="W42" s="16"/>
      <c r="X42" s="16"/>
      <c r="Y42" s="16"/>
      <c r="Z42" s="16"/>
      <c r="AA42" s="16"/>
      <c r="AB42" s="16"/>
      <c r="AC42" s="16"/>
      <c r="AD42" s="16"/>
      <c r="AE42" s="16"/>
      <c r="AF42" s="16"/>
      <c r="AG42" s="16"/>
      <c r="AH42" s="16"/>
    </row>
    <row r="43" ht="15.75" customHeight="1">
      <c r="A43" s="1"/>
      <c r="B43" s="16"/>
      <c r="C43" s="67" t="s">
        <v>383</v>
      </c>
      <c r="D43" s="17"/>
      <c r="E43" s="55" t="s">
        <v>55</v>
      </c>
      <c r="F43" s="20"/>
      <c r="G43" s="22">
        <v>3.0</v>
      </c>
      <c r="H43" s="22">
        <v>4.0</v>
      </c>
      <c r="I43" s="22">
        <f>6-H43</f>
        <v>2</v>
      </c>
      <c r="J43" s="22">
        <f>I43+G43</f>
        <v>5</v>
      </c>
      <c r="K43" s="16" t="s">
        <v>143</v>
      </c>
      <c r="L43" s="16"/>
      <c r="M43" s="16"/>
      <c r="N43" s="16"/>
      <c r="O43" s="16"/>
      <c r="P43" s="16"/>
      <c r="Q43" s="16"/>
      <c r="R43" s="16"/>
      <c r="S43" s="16"/>
      <c r="T43" s="16"/>
      <c r="U43" s="16"/>
      <c r="V43" s="16"/>
      <c r="W43" s="16"/>
      <c r="X43" s="16"/>
      <c r="Y43" s="16"/>
      <c r="Z43" s="16"/>
      <c r="AA43" s="16"/>
      <c r="AB43" s="16"/>
      <c r="AC43" s="16"/>
      <c r="AD43" s="16"/>
      <c r="AE43" s="16"/>
      <c r="AF43" s="16"/>
      <c r="AG43" s="16"/>
      <c r="AH43" s="16"/>
    </row>
    <row r="44" ht="15.75" customHeight="1">
      <c r="A44" s="1"/>
      <c r="B44" s="16"/>
      <c r="C44" s="16"/>
      <c r="D44" s="17"/>
      <c r="E44" s="18"/>
      <c r="F44" s="20"/>
      <c r="G44" s="22"/>
      <c r="H44" s="22"/>
      <c r="I44" s="22"/>
      <c r="J44" s="22"/>
      <c r="K44" s="16"/>
      <c r="L44" s="16"/>
      <c r="M44" s="16"/>
      <c r="N44" s="16"/>
      <c r="O44" s="16"/>
      <c r="P44" s="16"/>
      <c r="Q44" s="16"/>
      <c r="R44" s="16"/>
      <c r="S44" s="16"/>
      <c r="T44" s="16"/>
      <c r="U44" s="16"/>
      <c r="V44" s="16"/>
      <c r="W44" s="16"/>
      <c r="X44" s="16"/>
      <c r="Y44" s="16"/>
      <c r="Z44" s="16"/>
      <c r="AA44" s="16"/>
      <c r="AB44" s="16"/>
      <c r="AC44" s="16"/>
      <c r="AD44" s="16"/>
      <c r="AE44" s="16"/>
      <c r="AF44" s="16"/>
      <c r="AG44" s="16"/>
      <c r="AH44" s="16"/>
    </row>
    <row r="45" ht="15.75" customHeight="1">
      <c r="A45" s="1"/>
      <c r="B45" s="16"/>
      <c r="C45" s="16"/>
      <c r="D45" s="17"/>
      <c r="E45" s="18"/>
      <c r="F45" s="20"/>
      <c r="G45" s="22"/>
      <c r="H45" s="22"/>
      <c r="I45" s="22"/>
      <c r="J45" s="22"/>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ht="15.75" customHeight="1">
      <c r="A46" s="1" t="s">
        <v>389</v>
      </c>
      <c r="B46" s="16"/>
      <c r="C46" s="16"/>
      <c r="D46" s="17"/>
      <c r="E46" s="18"/>
      <c r="F46" s="20"/>
      <c r="G46" s="22"/>
      <c r="H46" s="22"/>
      <c r="I46" s="22"/>
      <c r="J46" s="22"/>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ht="15.75" customHeight="1" collapsed="1">
      <c r="A47" s="1"/>
      <c r="B47" s="16" t="s">
        <v>390</v>
      </c>
      <c r="C47" s="16"/>
      <c r="D47" s="17"/>
      <c r="E47" s="18"/>
      <c r="F47" s="20"/>
      <c r="G47" s="22"/>
      <c r="H47" s="22"/>
      <c r="I47" s="22"/>
      <c r="J47" s="22"/>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ht="15.75" hidden="1" customHeight="1" outlineLevel="1">
      <c r="C48" s="16" t="s">
        <v>395</v>
      </c>
      <c r="D48" s="17" t="s">
        <v>32</v>
      </c>
      <c r="E48" s="18" t="s">
        <v>396</v>
      </c>
      <c r="F48" s="57" t="s">
        <v>397</v>
      </c>
      <c r="G48" s="22">
        <v>4.0</v>
      </c>
      <c r="H48" s="22">
        <v>3.0</v>
      </c>
      <c r="I48" s="22">
        <f t="shared" ref="I48:I58" si="15">6-H48</f>
        <v>3</v>
      </c>
      <c r="J48" s="22">
        <f t="shared" ref="J48:J58" si="16">I48+G48</f>
        <v>7</v>
      </c>
      <c r="K48" s="16"/>
      <c r="L48" s="16"/>
      <c r="M48" s="16" t="s">
        <v>75</v>
      </c>
      <c r="N48" s="16"/>
      <c r="O48" s="16"/>
      <c r="P48" s="16"/>
      <c r="Q48" s="16"/>
      <c r="R48" s="16"/>
      <c r="S48" s="16"/>
      <c r="T48" s="16"/>
      <c r="U48" s="16"/>
      <c r="V48" s="16"/>
      <c r="W48" s="16"/>
      <c r="X48" s="16"/>
      <c r="Y48" s="16"/>
      <c r="Z48" s="16"/>
      <c r="AA48" s="16"/>
      <c r="AB48" s="16"/>
      <c r="AC48" s="16"/>
      <c r="AD48" s="16"/>
      <c r="AE48" s="16"/>
      <c r="AF48" s="16"/>
      <c r="AG48" s="16"/>
      <c r="AH48" s="16"/>
    </row>
    <row r="49" ht="15.75" customHeight="1">
      <c r="A49" s="1"/>
      <c r="C49" s="16" t="s">
        <v>399</v>
      </c>
      <c r="D49" s="17" t="s">
        <v>92</v>
      </c>
      <c r="E49" s="18" t="s">
        <v>400</v>
      </c>
      <c r="F49" s="20"/>
      <c r="G49" s="22">
        <v>2.0</v>
      </c>
      <c r="H49" s="22">
        <v>2.0</v>
      </c>
      <c r="I49" s="22">
        <f t="shared" si="15"/>
        <v>4</v>
      </c>
      <c r="J49" s="22">
        <f t="shared" si="16"/>
        <v>6</v>
      </c>
      <c r="K49" s="16" t="s">
        <v>118</v>
      </c>
      <c r="L49" s="16"/>
      <c r="M49" s="16"/>
      <c r="N49" s="16"/>
      <c r="O49" s="16"/>
      <c r="P49" s="16"/>
      <c r="Q49" s="16"/>
      <c r="R49" s="16"/>
      <c r="S49" s="16"/>
      <c r="T49" s="16"/>
      <c r="U49" s="16"/>
      <c r="V49" s="16"/>
      <c r="W49" s="16"/>
      <c r="X49" s="16"/>
      <c r="Y49" s="16"/>
      <c r="Z49" s="16"/>
      <c r="AA49" s="16"/>
      <c r="AB49" s="16"/>
      <c r="AC49" s="16"/>
      <c r="AD49" s="16"/>
      <c r="AE49" s="16"/>
      <c r="AF49" s="16"/>
      <c r="AG49" s="16"/>
      <c r="AH49" s="16"/>
    </row>
    <row r="50" ht="15.75" customHeight="1">
      <c r="A50" s="1"/>
      <c r="C50" s="16" t="s">
        <v>401</v>
      </c>
      <c r="D50" s="17" t="s">
        <v>32</v>
      </c>
      <c r="E50" s="18" t="s">
        <v>402</v>
      </c>
      <c r="F50" s="20"/>
      <c r="G50" s="22">
        <v>5.0</v>
      </c>
      <c r="H50" s="22">
        <v>4.0</v>
      </c>
      <c r="I50" s="22">
        <f t="shared" si="15"/>
        <v>2</v>
      </c>
      <c r="J50" s="22">
        <f t="shared" si="16"/>
        <v>7</v>
      </c>
      <c r="K50" s="16" t="s">
        <v>143</v>
      </c>
      <c r="L50" s="16"/>
      <c r="M50" s="16"/>
      <c r="N50" s="16"/>
      <c r="O50" s="16"/>
      <c r="P50" s="16"/>
      <c r="Q50" s="16"/>
      <c r="R50" s="16"/>
      <c r="S50" s="16"/>
      <c r="T50" s="16"/>
      <c r="U50" s="16"/>
      <c r="V50" s="16"/>
      <c r="W50" s="16"/>
      <c r="X50" s="16"/>
      <c r="Y50" s="16"/>
      <c r="Z50" s="16"/>
      <c r="AA50" s="16"/>
      <c r="AB50" s="16"/>
      <c r="AC50" s="16"/>
      <c r="AD50" s="16"/>
      <c r="AE50" s="16"/>
      <c r="AF50" s="16"/>
      <c r="AG50" s="16"/>
      <c r="AH50" s="16"/>
    </row>
    <row r="51" ht="15.75" customHeight="1" collapsed="1">
      <c r="A51" s="1"/>
      <c r="C51" s="16" t="s">
        <v>106</v>
      </c>
      <c r="D51" s="17" t="s">
        <v>32</v>
      </c>
      <c r="E51" s="18" t="s">
        <v>108</v>
      </c>
      <c r="F51" s="20"/>
      <c r="G51" s="22">
        <v>3.0</v>
      </c>
      <c r="H51" s="22">
        <v>3.0</v>
      </c>
      <c r="I51" s="22">
        <f t="shared" si="15"/>
        <v>3</v>
      </c>
      <c r="J51" s="22">
        <f t="shared" si="16"/>
        <v>6</v>
      </c>
      <c r="K51" s="16" t="s">
        <v>118</v>
      </c>
      <c r="L51" s="16"/>
      <c r="M51" s="16"/>
      <c r="N51" s="16"/>
      <c r="O51" s="16"/>
      <c r="P51" s="16"/>
      <c r="Q51" s="16"/>
      <c r="R51" s="16"/>
      <c r="S51" s="16"/>
      <c r="T51" s="16"/>
      <c r="U51" s="16"/>
      <c r="V51" s="16"/>
      <c r="W51" s="16"/>
      <c r="X51" s="16"/>
      <c r="Y51" s="16"/>
      <c r="Z51" s="16"/>
      <c r="AA51" s="16"/>
      <c r="AB51" s="16"/>
      <c r="AC51" s="16"/>
      <c r="AD51" s="16"/>
      <c r="AE51" s="16"/>
      <c r="AF51" s="16"/>
      <c r="AG51" s="16"/>
      <c r="AH51" s="16"/>
    </row>
    <row r="52" ht="15.75" hidden="1" customHeight="1" outlineLevel="1">
      <c r="A52" s="1"/>
      <c r="C52" s="16" t="s">
        <v>86</v>
      </c>
      <c r="D52" s="17"/>
      <c r="E52" s="18"/>
      <c r="F52" s="57" t="s">
        <v>407</v>
      </c>
      <c r="G52" s="22">
        <v>3.0</v>
      </c>
      <c r="H52" s="22">
        <v>3.0</v>
      </c>
      <c r="I52" s="22">
        <f t="shared" si="15"/>
        <v>3</v>
      </c>
      <c r="J52" s="22">
        <f t="shared" si="16"/>
        <v>6</v>
      </c>
      <c r="K52" s="16"/>
      <c r="L52" s="16"/>
      <c r="M52" s="16" t="s">
        <v>75</v>
      </c>
      <c r="N52" s="16"/>
      <c r="O52" s="16"/>
      <c r="P52" s="16"/>
      <c r="Q52" s="16"/>
      <c r="R52" s="16"/>
      <c r="S52" s="16"/>
      <c r="T52" s="16"/>
      <c r="U52" s="16"/>
      <c r="V52" s="16"/>
      <c r="W52" s="16"/>
      <c r="X52" s="16"/>
      <c r="Y52" s="16"/>
      <c r="Z52" s="16"/>
      <c r="AA52" s="16"/>
      <c r="AB52" s="16"/>
      <c r="AC52" s="16"/>
      <c r="AD52" s="16"/>
      <c r="AE52" s="16"/>
      <c r="AF52" s="16"/>
      <c r="AG52" s="16"/>
      <c r="AH52" s="16"/>
    </row>
    <row r="53" ht="15.75" customHeight="1">
      <c r="A53" s="1"/>
      <c r="B53" s="16"/>
      <c r="C53" s="16" t="s">
        <v>408</v>
      </c>
      <c r="D53" s="17" t="s">
        <v>32</v>
      </c>
      <c r="E53" s="18" t="s">
        <v>408</v>
      </c>
      <c r="F53" s="20"/>
      <c r="G53" s="22">
        <v>3.0</v>
      </c>
      <c r="H53" s="22">
        <v>2.0</v>
      </c>
      <c r="I53" s="22">
        <f t="shared" si="15"/>
        <v>4</v>
      </c>
      <c r="J53" s="22">
        <f t="shared" si="16"/>
        <v>7</v>
      </c>
      <c r="K53" s="16" t="s">
        <v>118</v>
      </c>
      <c r="L53" s="16"/>
      <c r="M53" s="16"/>
      <c r="N53" s="16"/>
      <c r="O53" s="16"/>
      <c r="P53" s="16"/>
      <c r="Q53" s="16"/>
      <c r="R53" s="16"/>
      <c r="S53" s="16"/>
      <c r="T53" s="16"/>
      <c r="U53" s="16"/>
      <c r="V53" s="16"/>
      <c r="W53" s="16"/>
      <c r="X53" s="16"/>
      <c r="Y53" s="16"/>
      <c r="Z53" s="16"/>
      <c r="AA53" s="16"/>
      <c r="AB53" s="16"/>
      <c r="AC53" s="16"/>
      <c r="AD53" s="16"/>
      <c r="AE53" s="16"/>
      <c r="AF53" s="16"/>
      <c r="AG53" s="16"/>
      <c r="AH53" s="16"/>
    </row>
    <row r="54" ht="15.75" customHeight="1" collapsed="1">
      <c r="A54" s="1"/>
      <c r="B54" s="16" t="s">
        <v>413</v>
      </c>
      <c r="C54" s="16"/>
      <c r="D54" s="17"/>
      <c r="E54" s="18"/>
      <c r="F54" s="20"/>
      <c r="G54" s="22"/>
      <c r="H54" s="22"/>
      <c r="I54" s="22">
        <f t="shared" si="15"/>
        <v>6</v>
      </c>
      <c r="J54" s="22">
        <f t="shared" si="16"/>
        <v>6</v>
      </c>
      <c r="K54" s="16"/>
      <c r="L54" s="16"/>
      <c r="M54" s="16"/>
      <c r="N54" s="16"/>
      <c r="O54" s="16"/>
      <c r="P54" s="16"/>
      <c r="Q54" s="16"/>
      <c r="R54" s="16"/>
      <c r="S54" s="16"/>
      <c r="T54" s="16"/>
      <c r="U54" s="16"/>
      <c r="V54" s="16"/>
      <c r="W54" s="16"/>
      <c r="X54" s="16"/>
      <c r="Y54" s="16"/>
      <c r="Z54" s="16"/>
      <c r="AA54" s="16"/>
      <c r="AB54" s="16"/>
      <c r="AC54" s="16"/>
      <c r="AD54" s="16"/>
      <c r="AE54" s="16"/>
      <c r="AF54" s="16"/>
      <c r="AG54" s="16"/>
      <c r="AH54" s="16"/>
    </row>
    <row r="55" ht="15.75" hidden="1" customHeight="1" outlineLevel="1">
      <c r="A55" s="1"/>
      <c r="C55" s="16" t="s">
        <v>90</v>
      </c>
      <c r="D55" s="17" t="s">
        <v>92</v>
      </c>
      <c r="E55" s="18"/>
      <c r="F55" s="20"/>
      <c r="G55" s="22">
        <v>3.0</v>
      </c>
      <c r="H55" s="22">
        <v>2.0</v>
      </c>
      <c r="I55" s="22">
        <f t="shared" si="15"/>
        <v>4</v>
      </c>
      <c r="J55" s="22">
        <f t="shared" si="16"/>
        <v>7</v>
      </c>
      <c r="K55" s="16"/>
      <c r="L55" s="16"/>
      <c r="M55" s="16" t="s">
        <v>75</v>
      </c>
      <c r="N55" s="16"/>
      <c r="O55" s="16"/>
      <c r="P55" s="16"/>
      <c r="Q55" s="16"/>
      <c r="R55" s="16"/>
      <c r="S55" s="16"/>
      <c r="T55" s="16"/>
      <c r="U55" s="16"/>
      <c r="V55" s="16"/>
      <c r="W55" s="16"/>
      <c r="X55" s="16"/>
      <c r="Y55" s="16"/>
      <c r="Z55" s="16"/>
      <c r="AA55" s="16"/>
      <c r="AB55" s="16"/>
      <c r="AC55" s="16"/>
      <c r="AD55" s="16"/>
      <c r="AE55" s="16"/>
      <c r="AF55" s="16"/>
      <c r="AG55" s="16"/>
      <c r="AH55" s="16"/>
    </row>
    <row r="56" ht="15.75" customHeight="1">
      <c r="A56" s="1"/>
      <c r="C56" s="16" t="s">
        <v>94</v>
      </c>
      <c r="D56" s="17" t="s">
        <v>92</v>
      </c>
      <c r="E56" s="18"/>
      <c r="F56" s="20"/>
      <c r="G56" s="22">
        <v>4.0</v>
      </c>
      <c r="H56" s="22">
        <v>4.0</v>
      </c>
      <c r="I56" s="22">
        <f t="shared" si="15"/>
        <v>2</v>
      </c>
      <c r="J56" s="22">
        <f t="shared" si="16"/>
        <v>6</v>
      </c>
      <c r="K56" s="16" t="s">
        <v>93</v>
      </c>
      <c r="L56" s="16"/>
      <c r="M56" s="16" t="s">
        <v>143</v>
      </c>
      <c r="N56" s="16"/>
      <c r="O56" s="16"/>
      <c r="P56" s="16"/>
      <c r="Q56" s="16"/>
      <c r="R56" s="16"/>
      <c r="S56" s="16"/>
      <c r="T56" s="16"/>
      <c r="U56" s="16"/>
      <c r="V56" s="16"/>
      <c r="W56" s="16"/>
      <c r="X56" s="16"/>
      <c r="Y56" s="16"/>
      <c r="Z56" s="16"/>
      <c r="AA56" s="16"/>
      <c r="AB56" s="16"/>
      <c r="AC56" s="16"/>
      <c r="AD56" s="16"/>
      <c r="AE56" s="16"/>
      <c r="AF56" s="16"/>
      <c r="AG56" s="16"/>
      <c r="AH56" s="16"/>
    </row>
    <row r="57" ht="15.75" customHeight="1">
      <c r="A57" s="1"/>
      <c r="C57" s="16" t="s">
        <v>435</v>
      </c>
      <c r="D57" s="17" t="s">
        <v>21</v>
      </c>
      <c r="E57" s="18" t="s">
        <v>438</v>
      </c>
      <c r="F57" s="20"/>
      <c r="G57" s="22">
        <v>4.0</v>
      </c>
      <c r="H57" s="22">
        <v>2.0</v>
      </c>
      <c r="I57" s="22">
        <f t="shared" si="15"/>
        <v>4</v>
      </c>
      <c r="J57" s="22">
        <f t="shared" si="16"/>
        <v>8</v>
      </c>
      <c r="K57" s="16" t="s">
        <v>446</v>
      </c>
      <c r="L57" s="16"/>
      <c r="M57" s="16" t="s">
        <v>143</v>
      </c>
      <c r="N57" s="16"/>
      <c r="O57" s="16"/>
      <c r="P57" s="16"/>
      <c r="Q57" s="16"/>
      <c r="R57" s="16"/>
      <c r="S57" s="16"/>
      <c r="T57" s="16"/>
      <c r="U57" s="16"/>
      <c r="V57" s="16"/>
      <c r="W57" s="16"/>
      <c r="X57" s="16"/>
      <c r="Y57" s="16"/>
      <c r="Z57" s="16"/>
      <c r="AA57" s="16"/>
      <c r="AB57" s="16"/>
      <c r="AC57" s="16"/>
      <c r="AD57" s="16"/>
      <c r="AE57" s="16"/>
      <c r="AF57" s="16"/>
      <c r="AG57" s="16"/>
      <c r="AH57" s="16"/>
    </row>
    <row r="58" ht="15.75" customHeight="1">
      <c r="A58" s="77"/>
      <c r="B58" s="78"/>
      <c r="C58" s="78" t="s">
        <v>100</v>
      </c>
      <c r="D58" s="79" t="s">
        <v>92</v>
      </c>
      <c r="E58" s="28" t="s">
        <v>467</v>
      </c>
      <c r="F58" s="80"/>
      <c r="G58" s="22">
        <v>4.0</v>
      </c>
      <c r="H58" s="22">
        <v>2.0</v>
      </c>
      <c r="I58" s="22">
        <f t="shared" si="15"/>
        <v>4</v>
      </c>
      <c r="J58" s="22">
        <f t="shared" si="16"/>
        <v>8</v>
      </c>
      <c r="K58" s="78" t="s">
        <v>149</v>
      </c>
      <c r="L58" s="78"/>
      <c r="M58" s="78"/>
      <c r="N58" s="78"/>
      <c r="O58" s="78"/>
      <c r="P58" s="78"/>
      <c r="Q58" s="78"/>
      <c r="R58" s="78"/>
      <c r="S58" s="78"/>
      <c r="T58" s="78"/>
      <c r="U58" s="78"/>
      <c r="V58" s="78"/>
      <c r="W58" s="78"/>
      <c r="X58" s="78"/>
      <c r="Y58" s="78"/>
      <c r="Z58" s="78"/>
      <c r="AA58" s="78"/>
      <c r="AB58" s="78"/>
      <c r="AC58" s="78"/>
      <c r="AD58" s="78"/>
      <c r="AE58" s="78"/>
      <c r="AF58" s="78"/>
      <c r="AG58" s="78"/>
      <c r="AH58" s="78"/>
    </row>
    <row r="59" ht="15.75" customHeight="1">
      <c r="A59" s="77"/>
      <c r="B59" s="78"/>
      <c r="C59" s="78"/>
      <c r="D59" s="79"/>
      <c r="E59" s="84"/>
      <c r="F59" s="80"/>
      <c r="G59" s="22"/>
      <c r="H59" s="22"/>
      <c r="I59" s="22"/>
      <c r="J59" s="22"/>
      <c r="K59" s="78"/>
      <c r="L59" s="78"/>
      <c r="M59" s="78"/>
      <c r="N59" s="78"/>
      <c r="O59" s="78"/>
      <c r="P59" s="78"/>
      <c r="Q59" s="78"/>
      <c r="R59" s="78"/>
      <c r="S59" s="78"/>
      <c r="T59" s="78"/>
      <c r="U59" s="78"/>
      <c r="V59" s="78"/>
      <c r="W59" s="78"/>
      <c r="X59" s="78"/>
      <c r="Y59" s="78"/>
      <c r="Z59" s="78"/>
      <c r="AA59" s="78"/>
      <c r="AB59" s="78"/>
      <c r="AC59" s="78"/>
      <c r="AD59" s="78"/>
      <c r="AE59" s="78"/>
      <c r="AF59" s="78"/>
      <c r="AG59" s="78"/>
      <c r="AH59" s="78"/>
    </row>
    <row r="60" ht="15.75" customHeight="1">
      <c r="A60" s="77"/>
      <c r="B60" s="78"/>
      <c r="C60" s="78"/>
      <c r="D60" s="79"/>
      <c r="E60" s="84"/>
      <c r="F60" s="80"/>
      <c r="G60" s="22"/>
      <c r="H60" s="22"/>
      <c r="I60" s="22"/>
      <c r="J60" s="22"/>
      <c r="K60" s="78"/>
      <c r="L60" s="78"/>
      <c r="M60" s="78"/>
      <c r="N60" s="78"/>
      <c r="O60" s="78"/>
      <c r="P60" s="78"/>
      <c r="Q60" s="78"/>
      <c r="R60" s="78"/>
      <c r="S60" s="78"/>
      <c r="T60" s="78"/>
      <c r="U60" s="78"/>
      <c r="V60" s="78"/>
      <c r="W60" s="78"/>
      <c r="X60" s="78"/>
      <c r="Y60" s="78"/>
      <c r="Z60" s="78"/>
      <c r="AA60" s="78"/>
      <c r="AB60" s="78"/>
      <c r="AC60" s="78"/>
      <c r="AD60" s="78"/>
      <c r="AE60" s="78"/>
      <c r="AF60" s="78"/>
      <c r="AG60" s="78"/>
      <c r="AH60" s="78"/>
    </row>
    <row r="61" ht="15.75" customHeight="1" collapsed="1">
      <c r="A61" s="1" t="s">
        <v>513</v>
      </c>
      <c r="B61" s="16"/>
      <c r="C61" s="16"/>
      <c r="D61" s="17"/>
      <c r="E61" s="18"/>
      <c r="F61" s="20"/>
      <c r="G61" s="22"/>
      <c r="H61" s="22"/>
      <c r="I61" s="22"/>
      <c r="J61" s="22"/>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ht="15.75" hidden="1" customHeight="1" outlineLevel="1">
      <c r="B62" s="16" t="s">
        <v>536</v>
      </c>
      <c r="C62" s="16"/>
      <c r="D62" s="17" t="s">
        <v>32</v>
      </c>
      <c r="E62" s="18" t="s">
        <v>539</v>
      </c>
      <c r="F62" s="57" t="s">
        <v>541</v>
      </c>
      <c r="G62" s="22">
        <v>3.0</v>
      </c>
      <c r="H62" s="22">
        <v>2.0</v>
      </c>
      <c r="I62" s="22">
        <f t="shared" ref="I62:I73" si="17">6-H62</f>
        <v>4</v>
      </c>
      <c r="J62" s="22">
        <f t="shared" ref="J62:J73" si="18">I62+G62</f>
        <v>7</v>
      </c>
      <c r="K62" s="16"/>
      <c r="L62" s="16"/>
      <c r="M62" s="16" t="s">
        <v>75</v>
      </c>
      <c r="N62" s="16"/>
      <c r="O62" s="16"/>
      <c r="P62" s="16"/>
      <c r="Q62" s="16"/>
      <c r="R62" s="16"/>
      <c r="S62" s="16"/>
      <c r="T62" s="16"/>
      <c r="U62" s="16"/>
      <c r="V62" s="16"/>
      <c r="W62" s="16"/>
      <c r="X62" s="16"/>
      <c r="Y62" s="16"/>
      <c r="Z62" s="16"/>
      <c r="AA62" s="16"/>
      <c r="AB62" s="16"/>
      <c r="AC62" s="16"/>
      <c r="AD62" s="16"/>
      <c r="AE62" s="16"/>
      <c r="AF62" s="16"/>
      <c r="AG62" s="16"/>
      <c r="AH62" s="16"/>
    </row>
    <row r="63" ht="15.75" customHeight="1">
      <c r="B63" s="16" t="s">
        <v>586</v>
      </c>
      <c r="C63" s="16"/>
      <c r="D63" s="17" t="s">
        <v>32</v>
      </c>
      <c r="E63" s="18" t="s">
        <v>590</v>
      </c>
      <c r="F63" s="57" t="s">
        <v>591</v>
      </c>
      <c r="G63" s="22">
        <v>4.0</v>
      </c>
      <c r="H63" s="22">
        <v>2.0</v>
      </c>
      <c r="I63" s="22">
        <f t="shared" si="17"/>
        <v>4</v>
      </c>
      <c r="J63" s="22">
        <f t="shared" si="18"/>
        <v>8</v>
      </c>
      <c r="K63" s="16" t="s">
        <v>75</v>
      </c>
      <c r="L63" s="16"/>
      <c r="M63" s="16" t="s">
        <v>143</v>
      </c>
      <c r="N63" s="16"/>
      <c r="O63" s="16"/>
      <c r="P63" s="16"/>
      <c r="Q63" s="16"/>
      <c r="R63" s="16"/>
      <c r="S63" s="16"/>
      <c r="T63" s="16"/>
      <c r="U63" s="16"/>
      <c r="V63" s="16"/>
      <c r="W63" s="16"/>
      <c r="X63" s="16"/>
      <c r="Y63" s="16"/>
      <c r="Z63" s="16"/>
      <c r="AA63" s="16"/>
      <c r="AB63" s="16"/>
      <c r="AC63" s="16"/>
      <c r="AD63" s="16"/>
      <c r="AE63" s="16"/>
      <c r="AF63" s="16"/>
      <c r="AG63" s="16"/>
      <c r="AH63" s="16"/>
    </row>
    <row r="64" ht="15.75" customHeight="1" collapsed="1">
      <c r="B64" s="16" t="s">
        <v>606</v>
      </c>
      <c r="C64" s="16"/>
      <c r="D64" s="17" t="s">
        <v>32</v>
      </c>
      <c r="E64" s="18" t="s">
        <v>607</v>
      </c>
      <c r="F64" s="57" t="s">
        <v>608</v>
      </c>
      <c r="G64" s="22">
        <v>4.0</v>
      </c>
      <c r="H64" s="22">
        <v>3.0</v>
      </c>
      <c r="I64" s="22">
        <f t="shared" si="17"/>
        <v>3</v>
      </c>
      <c r="J64" s="22">
        <f t="shared" si="18"/>
        <v>7</v>
      </c>
      <c r="K64" s="16" t="s">
        <v>75</v>
      </c>
      <c r="L64" s="16"/>
      <c r="M64" s="16" t="s">
        <v>614</v>
      </c>
      <c r="N64" s="16"/>
      <c r="O64" s="16"/>
      <c r="P64" s="16"/>
      <c r="Q64" s="16"/>
      <c r="R64" s="16"/>
      <c r="S64" s="16"/>
      <c r="T64" s="16"/>
      <c r="U64" s="16"/>
      <c r="V64" s="16"/>
      <c r="W64" s="16"/>
      <c r="X64" s="16"/>
      <c r="Y64" s="16"/>
      <c r="Z64" s="16"/>
      <c r="AA64" s="16"/>
      <c r="AB64" s="16"/>
      <c r="AC64" s="16"/>
      <c r="AD64" s="16"/>
      <c r="AE64" s="16"/>
      <c r="AF64" s="16"/>
      <c r="AG64" s="16"/>
      <c r="AH64" s="16"/>
    </row>
    <row r="65" ht="15.75" hidden="1" customHeight="1" outlineLevel="1">
      <c r="B65" s="16" t="s">
        <v>117</v>
      </c>
      <c r="C65" s="16"/>
      <c r="D65" s="17" t="s">
        <v>32</v>
      </c>
      <c r="E65" s="18" t="s">
        <v>614</v>
      </c>
      <c r="F65" s="57" t="s">
        <v>630</v>
      </c>
      <c r="G65" s="22">
        <v>4.0</v>
      </c>
      <c r="H65" s="22">
        <v>3.0</v>
      </c>
      <c r="I65" s="22">
        <f t="shared" si="17"/>
        <v>3</v>
      </c>
      <c r="J65" s="22">
        <f t="shared" si="18"/>
        <v>7</v>
      </c>
      <c r="K65" s="16"/>
      <c r="L65" s="16"/>
      <c r="M65" s="16" t="s">
        <v>75</v>
      </c>
      <c r="N65" s="16"/>
      <c r="O65" s="16"/>
      <c r="P65" s="16"/>
      <c r="Q65" s="16"/>
      <c r="R65" s="16"/>
      <c r="S65" s="16"/>
      <c r="T65" s="16"/>
      <c r="U65" s="16"/>
      <c r="V65" s="16"/>
      <c r="W65" s="16"/>
      <c r="X65" s="16"/>
      <c r="Y65" s="16"/>
      <c r="Z65" s="16"/>
      <c r="AA65" s="16"/>
      <c r="AB65" s="16"/>
      <c r="AC65" s="16"/>
      <c r="AD65" s="16"/>
      <c r="AE65" s="16"/>
      <c r="AF65" s="16"/>
      <c r="AG65" s="16"/>
      <c r="AH65" s="16"/>
    </row>
    <row r="66" ht="15.75" customHeight="1">
      <c r="B66" s="16" t="s">
        <v>651</v>
      </c>
      <c r="C66" s="16"/>
      <c r="D66" s="17" t="s">
        <v>32</v>
      </c>
      <c r="E66" s="18" t="s">
        <v>614</v>
      </c>
      <c r="F66" s="48" t="s">
        <v>653</v>
      </c>
      <c r="G66" s="22">
        <v>3.0</v>
      </c>
      <c r="H66" s="22">
        <v>3.0</v>
      </c>
      <c r="I66" s="22">
        <f t="shared" si="17"/>
        <v>3</v>
      </c>
      <c r="J66" s="22">
        <f t="shared" si="18"/>
        <v>6</v>
      </c>
      <c r="K66" s="16" t="s">
        <v>75</v>
      </c>
      <c r="L66" s="16"/>
      <c r="M66" s="16" t="s">
        <v>143</v>
      </c>
      <c r="N66" s="16"/>
      <c r="O66" s="16"/>
      <c r="P66" s="16"/>
      <c r="Q66" s="16"/>
      <c r="R66" s="16"/>
      <c r="S66" s="16"/>
      <c r="T66" s="16"/>
      <c r="U66" s="16"/>
      <c r="V66" s="16"/>
      <c r="W66" s="16"/>
      <c r="X66" s="16"/>
      <c r="Y66" s="16"/>
      <c r="Z66" s="16"/>
      <c r="AA66" s="16"/>
      <c r="AB66" s="16"/>
      <c r="AC66" s="16"/>
      <c r="AD66" s="16"/>
      <c r="AE66" s="16"/>
      <c r="AF66" s="16"/>
      <c r="AG66" s="16"/>
      <c r="AH66" s="16"/>
    </row>
    <row r="67" ht="15.75" customHeight="1">
      <c r="B67" s="16" t="s">
        <v>665</v>
      </c>
      <c r="C67" s="16"/>
      <c r="D67" s="17" t="s">
        <v>32</v>
      </c>
      <c r="E67" s="18" t="s">
        <v>666</v>
      </c>
      <c r="F67" s="57" t="s">
        <v>668</v>
      </c>
      <c r="G67" s="22">
        <v>3.0</v>
      </c>
      <c r="H67" s="22">
        <v>4.0</v>
      </c>
      <c r="I67" s="22">
        <f t="shared" si="17"/>
        <v>2</v>
      </c>
      <c r="J67" s="22">
        <f t="shared" si="18"/>
        <v>5</v>
      </c>
      <c r="K67" s="16" t="s">
        <v>143</v>
      </c>
      <c r="L67" s="16"/>
      <c r="M67" s="16" t="s">
        <v>143</v>
      </c>
      <c r="N67" s="16"/>
      <c r="O67" s="16"/>
      <c r="P67" s="16"/>
      <c r="Q67" s="16"/>
      <c r="R67" s="16"/>
      <c r="S67" s="16"/>
      <c r="T67" s="16"/>
      <c r="U67" s="16"/>
      <c r="V67" s="16"/>
      <c r="W67" s="16"/>
      <c r="X67" s="16"/>
      <c r="Y67" s="16"/>
      <c r="Z67" s="16"/>
      <c r="AA67" s="16"/>
      <c r="AB67" s="16"/>
      <c r="AC67" s="16"/>
      <c r="AD67" s="16"/>
      <c r="AE67" s="16"/>
      <c r="AF67" s="16"/>
      <c r="AG67" s="16"/>
      <c r="AH67" s="16"/>
    </row>
    <row r="68" ht="15.75" customHeight="1">
      <c r="B68" s="16" t="s">
        <v>126</v>
      </c>
      <c r="C68" s="16"/>
      <c r="D68" s="17" t="s">
        <v>32</v>
      </c>
      <c r="E68" s="18" t="s">
        <v>692</v>
      </c>
      <c r="F68" s="57" t="s">
        <v>693</v>
      </c>
      <c r="G68" s="22">
        <v>3.0</v>
      </c>
      <c r="H68" s="22">
        <v>4.0</v>
      </c>
      <c r="I68" s="22">
        <f t="shared" si="17"/>
        <v>2</v>
      </c>
      <c r="J68" s="22">
        <f t="shared" si="18"/>
        <v>5</v>
      </c>
      <c r="K68" s="16" t="s">
        <v>118</v>
      </c>
      <c r="L68" s="16"/>
      <c r="M68" s="16"/>
      <c r="N68" s="16"/>
      <c r="O68" s="16"/>
      <c r="P68" s="16"/>
      <c r="Q68" s="16"/>
      <c r="R68" s="16"/>
      <c r="S68" s="16"/>
      <c r="T68" s="16"/>
      <c r="U68" s="16"/>
      <c r="V68" s="16"/>
      <c r="W68" s="16"/>
      <c r="X68" s="16"/>
      <c r="Y68" s="16"/>
      <c r="Z68" s="16"/>
      <c r="AA68" s="16"/>
      <c r="AB68" s="16"/>
      <c r="AC68" s="16"/>
      <c r="AD68" s="16"/>
      <c r="AE68" s="16"/>
      <c r="AF68" s="16"/>
      <c r="AG68" s="16"/>
      <c r="AH68" s="16"/>
    </row>
    <row r="69" ht="15.75" customHeight="1">
      <c r="B69" s="16" t="s">
        <v>705</v>
      </c>
      <c r="C69" s="16"/>
      <c r="D69" s="17" t="s">
        <v>32</v>
      </c>
      <c r="E69" s="18" t="s">
        <v>708</v>
      </c>
      <c r="F69" s="57" t="s">
        <v>710</v>
      </c>
      <c r="G69" s="22">
        <v>3.0</v>
      </c>
      <c r="H69" s="22">
        <v>2.0</v>
      </c>
      <c r="I69" s="22">
        <f t="shared" si="17"/>
        <v>4</v>
      </c>
      <c r="J69" s="22">
        <f t="shared" si="18"/>
        <v>7</v>
      </c>
      <c r="K69" s="16" t="s">
        <v>75</v>
      </c>
      <c r="L69" s="16"/>
      <c r="M69" s="16"/>
      <c r="N69" s="16"/>
      <c r="O69" s="16"/>
      <c r="P69" s="16"/>
      <c r="Q69" s="16"/>
      <c r="R69" s="16"/>
      <c r="S69" s="16"/>
      <c r="T69" s="16"/>
      <c r="U69" s="16"/>
      <c r="V69" s="16"/>
      <c r="W69" s="16"/>
      <c r="X69" s="16"/>
      <c r="Y69" s="16"/>
      <c r="Z69" s="16"/>
      <c r="AA69" s="16"/>
      <c r="AB69" s="16"/>
      <c r="AC69" s="16"/>
      <c r="AD69" s="16"/>
      <c r="AE69" s="16"/>
      <c r="AF69" s="16"/>
      <c r="AG69" s="16"/>
      <c r="AH69" s="16"/>
    </row>
    <row r="70" ht="15.75" customHeight="1">
      <c r="B70" s="16" t="s">
        <v>725</v>
      </c>
      <c r="C70" s="16"/>
      <c r="D70" s="17" t="s">
        <v>32</v>
      </c>
      <c r="E70" s="18"/>
      <c r="F70" s="20"/>
      <c r="G70" s="22">
        <v>2.0</v>
      </c>
      <c r="H70" s="22">
        <v>1.0</v>
      </c>
      <c r="I70" s="22">
        <f t="shared" si="17"/>
        <v>5</v>
      </c>
      <c r="J70" s="22">
        <f t="shared" si="18"/>
        <v>7</v>
      </c>
      <c r="K70" s="16" t="s">
        <v>75</v>
      </c>
      <c r="L70" s="16"/>
      <c r="M70" s="16" t="s">
        <v>339</v>
      </c>
      <c r="N70" s="16"/>
      <c r="O70" s="16"/>
      <c r="P70" s="16"/>
      <c r="Q70" s="16"/>
      <c r="R70" s="16"/>
      <c r="S70" s="16"/>
      <c r="T70" s="16"/>
      <c r="U70" s="16"/>
      <c r="V70" s="16"/>
      <c r="W70" s="16"/>
      <c r="X70" s="16"/>
      <c r="Y70" s="16"/>
      <c r="Z70" s="16"/>
      <c r="AA70" s="16"/>
      <c r="AB70" s="16"/>
      <c r="AC70" s="16"/>
      <c r="AD70" s="16"/>
      <c r="AE70" s="16"/>
      <c r="AF70" s="16"/>
      <c r="AG70" s="16"/>
      <c r="AH70" s="16"/>
    </row>
    <row r="71" ht="15.75" customHeight="1">
      <c r="B71" s="16" t="s">
        <v>145</v>
      </c>
      <c r="C71" s="16"/>
      <c r="D71" s="17" t="s">
        <v>32</v>
      </c>
      <c r="E71" s="18" t="s">
        <v>740</v>
      </c>
      <c r="F71" s="20"/>
      <c r="G71" s="22">
        <v>2.0</v>
      </c>
      <c r="H71" s="22">
        <v>2.0</v>
      </c>
      <c r="I71" s="22">
        <f t="shared" si="17"/>
        <v>4</v>
      </c>
      <c r="J71" s="22">
        <f t="shared" si="18"/>
        <v>6</v>
      </c>
      <c r="K71" s="16" t="s">
        <v>118</v>
      </c>
      <c r="L71" s="16"/>
      <c r="M71" s="16"/>
      <c r="N71" s="16"/>
      <c r="O71" s="16"/>
      <c r="P71" s="16"/>
      <c r="Q71" s="16"/>
      <c r="R71" s="16"/>
      <c r="S71" s="16"/>
      <c r="T71" s="16"/>
      <c r="U71" s="16"/>
      <c r="V71" s="16"/>
      <c r="W71" s="16"/>
      <c r="X71" s="16"/>
      <c r="Y71" s="16"/>
      <c r="Z71" s="16"/>
      <c r="AA71" s="16"/>
      <c r="AB71" s="16"/>
      <c r="AC71" s="16"/>
      <c r="AD71" s="16"/>
      <c r="AE71" s="16"/>
      <c r="AF71" s="16"/>
      <c r="AG71" s="16"/>
      <c r="AH71" s="16"/>
    </row>
    <row r="72" ht="15.75" customHeight="1">
      <c r="B72" s="16" t="s">
        <v>123</v>
      </c>
      <c r="C72" s="16"/>
      <c r="D72" s="17" t="s">
        <v>32</v>
      </c>
      <c r="E72" s="18" t="s">
        <v>765</v>
      </c>
      <c r="F72" s="20"/>
      <c r="G72" s="22">
        <v>2.0</v>
      </c>
      <c r="H72" s="22">
        <v>4.0</v>
      </c>
      <c r="I72" s="22">
        <f t="shared" si="17"/>
        <v>2</v>
      </c>
      <c r="J72" s="22">
        <f t="shared" si="18"/>
        <v>4</v>
      </c>
      <c r="K72" s="16" t="s">
        <v>143</v>
      </c>
      <c r="L72" s="16"/>
      <c r="M72" s="16"/>
      <c r="N72" s="16"/>
      <c r="O72" s="16"/>
      <c r="P72" s="16"/>
      <c r="Q72" s="16"/>
      <c r="R72" s="16"/>
      <c r="S72" s="16"/>
      <c r="T72" s="16"/>
      <c r="U72" s="16"/>
      <c r="V72" s="16"/>
      <c r="W72" s="16"/>
      <c r="X72" s="16"/>
      <c r="Y72" s="16"/>
      <c r="Z72" s="16"/>
      <c r="AA72" s="16"/>
      <c r="AB72" s="16"/>
      <c r="AC72" s="16"/>
      <c r="AD72" s="16"/>
      <c r="AE72" s="16"/>
      <c r="AF72" s="16"/>
      <c r="AG72" s="16"/>
      <c r="AH72" s="16"/>
    </row>
    <row r="73" ht="15.75" customHeight="1">
      <c r="B73" s="16" t="s">
        <v>131</v>
      </c>
      <c r="C73" s="16"/>
      <c r="D73" s="17" t="s">
        <v>32</v>
      </c>
      <c r="E73" s="18" t="s">
        <v>133</v>
      </c>
      <c r="F73" s="20"/>
      <c r="G73" s="22">
        <v>1.0</v>
      </c>
      <c r="H73" s="22">
        <v>4.0</v>
      </c>
      <c r="I73" s="22">
        <f t="shared" si="17"/>
        <v>2</v>
      </c>
      <c r="J73" s="22">
        <f t="shared" si="18"/>
        <v>3</v>
      </c>
      <c r="K73" s="16" t="s">
        <v>118</v>
      </c>
      <c r="L73" s="16"/>
      <c r="M73" s="16"/>
      <c r="N73" s="16"/>
      <c r="O73" s="16"/>
      <c r="P73" s="16"/>
      <c r="Q73" s="16"/>
      <c r="R73" s="16"/>
      <c r="S73" s="16"/>
      <c r="T73" s="16"/>
      <c r="U73" s="16"/>
      <c r="V73" s="16"/>
      <c r="W73" s="16"/>
      <c r="X73" s="16"/>
      <c r="Y73" s="16"/>
      <c r="Z73" s="16"/>
      <c r="AA73" s="16"/>
      <c r="AB73" s="16"/>
      <c r="AC73" s="16"/>
      <c r="AD73" s="16"/>
      <c r="AE73" s="16"/>
      <c r="AF73" s="16"/>
      <c r="AG73" s="16"/>
      <c r="AH73" s="16"/>
    </row>
    <row r="74" ht="15.75" customHeight="1">
      <c r="B74" s="16" t="s">
        <v>148</v>
      </c>
      <c r="C74" s="16"/>
      <c r="D74" s="17" t="s">
        <v>32</v>
      </c>
      <c r="E74" s="18" t="s">
        <v>119</v>
      </c>
      <c r="F74" s="20"/>
      <c r="G74" s="22"/>
      <c r="H74" s="22"/>
      <c r="I74" s="22"/>
      <c r="J74" s="22"/>
      <c r="K74" s="16" t="s">
        <v>118</v>
      </c>
      <c r="L74" s="16"/>
      <c r="M74" s="16"/>
      <c r="N74" s="16"/>
      <c r="O74" s="16"/>
      <c r="P74" s="16"/>
      <c r="Q74" s="16"/>
      <c r="R74" s="16"/>
      <c r="S74" s="16"/>
      <c r="T74" s="16"/>
      <c r="U74" s="16"/>
      <c r="V74" s="16"/>
      <c r="W74" s="16"/>
      <c r="X74" s="16"/>
      <c r="Y74" s="16"/>
      <c r="Z74" s="16"/>
      <c r="AA74" s="16"/>
      <c r="AB74" s="16"/>
      <c r="AC74" s="16"/>
      <c r="AD74" s="16"/>
      <c r="AE74" s="16"/>
      <c r="AF74" s="16"/>
      <c r="AG74" s="16"/>
      <c r="AH74" s="16"/>
    </row>
    <row r="75" ht="15.75" customHeight="1">
      <c r="B75" s="16" t="s">
        <v>138</v>
      </c>
      <c r="C75" s="16"/>
      <c r="D75" s="17" t="s">
        <v>32</v>
      </c>
      <c r="E75" s="18" t="s">
        <v>139</v>
      </c>
      <c r="F75" s="20"/>
      <c r="G75" s="22"/>
      <c r="H75" s="22"/>
      <c r="I75" s="22"/>
      <c r="J75" s="22"/>
      <c r="K75" s="16" t="s">
        <v>118</v>
      </c>
      <c r="L75" s="16"/>
      <c r="M75" s="16"/>
      <c r="N75" s="16"/>
      <c r="O75" s="16"/>
      <c r="P75" s="16"/>
      <c r="Q75" s="16"/>
      <c r="R75" s="16"/>
      <c r="S75" s="16"/>
      <c r="T75" s="16"/>
      <c r="U75" s="16"/>
      <c r="V75" s="16"/>
      <c r="W75" s="16"/>
      <c r="X75" s="16"/>
      <c r="Y75" s="16"/>
      <c r="Z75" s="16"/>
      <c r="AA75" s="16"/>
      <c r="AB75" s="16"/>
      <c r="AC75" s="16"/>
      <c r="AD75" s="16"/>
      <c r="AE75" s="16"/>
      <c r="AF75" s="16"/>
      <c r="AG75" s="16"/>
      <c r="AH75" s="16"/>
    </row>
    <row r="76" ht="15.75" customHeight="1">
      <c r="A76" s="1"/>
      <c r="B76" s="16" t="s">
        <v>151</v>
      </c>
      <c r="C76" s="16"/>
      <c r="D76" s="17" t="s">
        <v>21</v>
      </c>
      <c r="E76" s="18"/>
      <c r="F76" s="20"/>
      <c r="G76" s="22"/>
      <c r="H76" s="22"/>
      <c r="I76" s="22"/>
      <c r="J76" s="22"/>
      <c r="K76" s="16" t="s">
        <v>118</v>
      </c>
      <c r="L76" s="16"/>
      <c r="M76" s="16"/>
      <c r="N76" s="16"/>
      <c r="O76" s="16"/>
      <c r="P76" s="16"/>
      <c r="Q76" s="16"/>
      <c r="R76" s="16"/>
      <c r="S76" s="16"/>
      <c r="T76" s="16"/>
      <c r="U76" s="16"/>
      <c r="V76" s="16"/>
      <c r="W76" s="16"/>
      <c r="X76" s="16"/>
      <c r="Y76" s="16"/>
      <c r="Z76" s="16"/>
      <c r="AA76" s="16"/>
      <c r="AB76" s="16"/>
      <c r="AC76" s="16"/>
      <c r="AD76" s="16"/>
      <c r="AE76" s="16"/>
      <c r="AF76" s="16"/>
      <c r="AG76" s="16"/>
      <c r="AH76" s="16"/>
    </row>
    <row r="77" ht="15.75" customHeight="1">
      <c r="A77" s="1"/>
      <c r="B77" s="15" t="s">
        <v>818</v>
      </c>
      <c r="C77" s="16"/>
      <c r="D77" s="73" t="s">
        <v>21</v>
      </c>
      <c r="E77" s="96" t="s">
        <v>155</v>
      </c>
      <c r="F77" s="20"/>
      <c r="G77" s="22"/>
      <c r="H77" s="22"/>
      <c r="I77" s="22"/>
      <c r="J77" s="22"/>
      <c r="K77" s="16" t="s">
        <v>118</v>
      </c>
      <c r="L77" s="16"/>
      <c r="M77" s="16"/>
      <c r="N77" s="16"/>
      <c r="O77" s="16"/>
      <c r="P77" s="16"/>
      <c r="Q77" s="16"/>
      <c r="R77" s="16"/>
      <c r="S77" s="16"/>
      <c r="T77" s="16"/>
      <c r="U77" s="16"/>
      <c r="V77" s="16"/>
      <c r="W77" s="16"/>
      <c r="X77" s="16"/>
      <c r="Y77" s="16"/>
      <c r="Z77" s="16"/>
      <c r="AA77" s="16"/>
      <c r="AB77" s="16"/>
      <c r="AC77" s="16"/>
      <c r="AD77" s="16"/>
      <c r="AE77" s="16"/>
      <c r="AF77" s="16"/>
      <c r="AG77" s="16"/>
      <c r="AH77" s="16"/>
    </row>
    <row r="78" ht="15.75" customHeight="1">
      <c r="A78" s="1"/>
      <c r="B78" s="16"/>
      <c r="C78" s="16"/>
      <c r="D78" s="17"/>
      <c r="E78" s="18"/>
      <c r="F78" s="20"/>
      <c r="G78" s="22"/>
      <c r="H78" s="22"/>
      <c r="I78" s="22"/>
      <c r="J78" s="22"/>
      <c r="K78" s="16"/>
      <c r="L78" s="16"/>
      <c r="M78" s="16"/>
      <c r="N78" s="16"/>
      <c r="O78" s="16"/>
      <c r="P78" s="16"/>
      <c r="Q78" s="16"/>
      <c r="R78" s="16"/>
      <c r="S78" s="16"/>
      <c r="T78" s="16"/>
      <c r="U78" s="16"/>
      <c r="V78" s="16"/>
      <c r="W78" s="16"/>
      <c r="X78" s="16"/>
      <c r="Y78" s="16"/>
      <c r="Z78" s="16"/>
      <c r="AA78" s="16"/>
      <c r="AB78" s="16"/>
      <c r="AC78" s="16"/>
      <c r="AD78" s="16"/>
      <c r="AE78" s="16"/>
      <c r="AF78" s="16"/>
      <c r="AG78" s="16"/>
      <c r="AH78" s="16"/>
    </row>
    <row r="79" ht="15.75" customHeight="1">
      <c r="A79" s="1"/>
      <c r="B79" s="16"/>
      <c r="C79" s="16"/>
      <c r="D79" s="17"/>
      <c r="E79" s="18"/>
      <c r="F79" s="20"/>
      <c r="G79" s="22"/>
      <c r="H79" s="22"/>
      <c r="I79" s="22"/>
      <c r="J79" s="22"/>
      <c r="K79" s="16"/>
      <c r="L79" s="16"/>
      <c r="M79" s="16"/>
      <c r="N79" s="16"/>
      <c r="O79" s="16"/>
      <c r="P79" s="16"/>
      <c r="Q79" s="16"/>
      <c r="R79" s="16"/>
      <c r="S79" s="16"/>
      <c r="T79" s="16"/>
      <c r="U79" s="16"/>
      <c r="V79" s="16"/>
      <c r="W79" s="16"/>
      <c r="X79" s="16"/>
      <c r="Y79" s="16"/>
      <c r="Z79" s="16"/>
      <c r="AA79" s="16"/>
      <c r="AB79" s="16"/>
      <c r="AC79" s="16"/>
      <c r="AD79" s="16"/>
      <c r="AE79" s="16"/>
      <c r="AF79" s="16"/>
      <c r="AG79" s="16"/>
      <c r="AH79" s="16"/>
    </row>
    <row r="80" ht="15.75" customHeight="1">
      <c r="A80" s="1" t="s">
        <v>230</v>
      </c>
      <c r="B80" s="16"/>
      <c r="C80" s="16"/>
      <c r="D80" s="17"/>
      <c r="E80" s="18"/>
      <c r="F80" s="20"/>
      <c r="G80" s="22"/>
      <c r="H80" s="22"/>
      <c r="I80" s="22"/>
      <c r="J80" s="22"/>
      <c r="K80" s="16"/>
      <c r="L80" s="16"/>
      <c r="M80" s="16"/>
      <c r="N80" s="16"/>
      <c r="O80" s="16"/>
      <c r="P80" s="16"/>
      <c r="Q80" s="16"/>
      <c r="R80" s="16"/>
      <c r="S80" s="16"/>
      <c r="T80" s="16"/>
      <c r="U80" s="16"/>
      <c r="V80" s="16"/>
      <c r="W80" s="16"/>
      <c r="X80" s="16"/>
      <c r="Y80" s="16"/>
      <c r="Z80" s="16"/>
      <c r="AA80" s="16"/>
      <c r="AB80" s="16"/>
      <c r="AC80" s="16"/>
      <c r="AD80" s="16"/>
      <c r="AE80" s="16"/>
      <c r="AF80" s="16"/>
      <c r="AG80" s="16"/>
      <c r="AH80" s="16"/>
    </row>
    <row r="81" ht="15.75" customHeight="1">
      <c r="A81" s="1"/>
      <c r="B81" s="16" t="s">
        <v>233</v>
      </c>
      <c r="C81" s="16"/>
      <c r="D81" s="17" t="s">
        <v>92</v>
      </c>
      <c r="E81" s="18" t="s">
        <v>825</v>
      </c>
      <c r="F81" s="20"/>
      <c r="G81" s="22">
        <v>3.0</v>
      </c>
      <c r="H81" s="22">
        <v>4.0</v>
      </c>
      <c r="I81" s="22">
        <f t="shared" ref="I81:I82" si="19">6-H81</f>
        <v>2</v>
      </c>
      <c r="J81" s="22">
        <f t="shared" ref="J81:J82" si="20">I81+G81</f>
        <v>5</v>
      </c>
      <c r="K81" s="16" t="s">
        <v>143</v>
      </c>
      <c r="L81" s="16"/>
      <c r="M81" s="16"/>
      <c r="N81" s="16"/>
      <c r="O81" s="16"/>
      <c r="P81" s="16"/>
      <c r="Q81" s="16"/>
      <c r="R81" s="16"/>
      <c r="S81" s="16"/>
      <c r="T81" s="16"/>
      <c r="U81" s="16"/>
      <c r="V81" s="16"/>
      <c r="W81" s="16"/>
      <c r="X81" s="16"/>
      <c r="Y81" s="16"/>
      <c r="Z81" s="16"/>
      <c r="AA81" s="16"/>
      <c r="AB81" s="16"/>
      <c r="AC81" s="16"/>
      <c r="AD81" s="16"/>
      <c r="AE81" s="16"/>
      <c r="AF81" s="16"/>
      <c r="AG81" s="16"/>
      <c r="AH81" s="16"/>
    </row>
    <row r="82" ht="15.75" customHeight="1">
      <c r="A82" s="1"/>
      <c r="B82" s="16" t="s">
        <v>826</v>
      </c>
      <c r="C82" s="16"/>
      <c r="D82" s="17" t="s">
        <v>32</v>
      </c>
      <c r="E82" s="18"/>
      <c r="F82" s="57" t="s">
        <v>827</v>
      </c>
      <c r="G82" s="22">
        <v>4.0</v>
      </c>
      <c r="H82" s="22">
        <v>3.0</v>
      </c>
      <c r="I82" s="22">
        <f t="shared" si="19"/>
        <v>3</v>
      </c>
      <c r="J82" s="22">
        <f t="shared" si="20"/>
        <v>7</v>
      </c>
      <c r="K82" s="16" t="s">
        <v>75</v>
      </c>
      <c r="L82" s="16"/>
      <c r="M82" s="16" t="s">
        <v>143</v>
      </c>
      <c r="N82" s="16"/>
      <c r="O82" s="16"/>
      <c r="P82" s="16"/>
      <c r="Q82" s="16"/>
      <c r="R82" s="16"/>
      <c r="S82" s="16"/>
      <c r="T82" s="16"/>
      <c r="U82" s="16"/>
      <c r="V82" s="16"/>
      <c r="W82" s="16"/>
      <c r="X82" s="16"/>
      <c r="Y82" s="16"/>
      <c r="Z82" s="16"/>
      <c r="AA82" s="16"/>
      <c r="AB82" s="16"/>
      <c r="AC82" s="16"/>
      <c r="AD82" s="16"/>
      <c r="AE82" s="16"/>
      <c r="AF82" s="16"/>
      <c r="AG82" s="16"/>
      <c r="AH82" s="16"/>
    </row>
    <row r="83" ht="15.75" customHeight="1">
      <c r="A83" s="1"/>
      <c r="B83" s="16"/>
      <c r="C83" s="16"/>
      <c r="D83" s="17"/>
      <c r="E83" s="18"/>
      <c r="F83" s="20"/>
      <c r="G83" s="22"/>
      <c r="H83" s="22"/>
      <c r="I83" s="22"/>
      <c r="J83" s="22"/>
      <c r="K83" s="16"/>
      <c r="L83" s="16"/>
      <c r="M83" s="16"/>
      <c r="N83" s="16"/>
      <c r="O83" s="16"/>
      <c r="P83" s="16"/>
      <c r="Q83" s="16"/>
      <c r="R83" s="16"/>
      <c r="S83" s="16"/>
      <c r="T83" s="16"/>
      <c r="U83" s="16"/>
      <c r="V83" s="16"/>
      <c r="W83" s="16"/>
      <c r="X83" s="16"/>
      <c r="Y83" s="16"/>
      <c r="Z83" s="16"/>
      <c r="AA83" s="16"/>
      <c r="AB83" s="16"/>
      <c r="AC83" s="16"/>
      <c r="AD83" s="16"/>
      <c r="AE83" s="16"/>
      <c r="AF83" s="16"/>
      <c r="AG83" s="16"/>
      <c r="AH83" s="16"/>
    </row>
    <row r="84" ht="15.75" customHeight="1">
      <c r="A84" s="1"/>
      <c r="B84" s="16"/>
      <c r="C84" s="16"/>
      <c r="D84" s="17"/>
      <c r="E84" s="18"/>
      <c r="F84" s="20"/>
      <c r="G84" s="22"/>
      <c r="H84" s="22"/>
      <c r="I84" s="22"/>
      <c r="J84" s="22"/>
      <c r="K84" s="16"/>
      <c r="L84" s="16"/>
      <c r="M84" s="16"/>
      <c r="N84" s="16"/>
      <c r="O84" s="16"/>
      <c r="P84" s="16"/>
      <c r="Q84" s="16"/>
      <c r="R84" s="16"/>
      <c r="S84" s="16"/>
      <c r="T84" s="16"/>
      <c r="U84" s="16"/>
      <c r="V84" s="16"/>
      <c r="W84" s="16"/>
      <c r="X84" s="16"/>
      <c r="Y84" s="16"/>
      <c r="Z84" s="16"/>
      <c r="AA84" s="16"/>
      <c r="AB84" s="16"/>
      <c r="AC84" s="16"/>
      <c r="AD84" s="16"/>
      <c r="AE84" s="16"/>
      <c r="AF84" s="16"/>
      <c r="AG84" s="16"/>
      <c r="AH84" s="16"/>
    </row>
    <row r="85" ht="15.75" customHeight="1">
      <c r="A85" s="1" t="s">
        <v>218</v>
      </c>
      <c r="B85" s="16"/>
      <c r="C85" s="16"/>
      <c r="D85" s="17"/>
      <c r="E85" s="18"/>
      <c r="F85" s="20"/>
      <c r="G85" s="22"/>
      <c r="H85" s="22"/>
      <c r="I85" s="22"/>
      <c r="J85" s="22"/>
      <c r="K85" s="16"/>
      <c r="L85" s="16"/>
      <c r="M85" s="16"/>
      <c r="N85" s="16"/>
      <c r="O85" s="16"/>
      <c r="P85" s="16"/>
      <c r="Q85" s="16"/>
      <c r="R85" s="16"/>
      <c r="S85" s="16"/>
      <c r="T85" s="16"/>
      <c r="U85" s="16"/>
      <c r="V85" s="16"/>
      <c r="W85" s="16"/>
      <c r="X85" s="16"/>
      <c r="Y85" s="16"/>
      <c r="Z85" s="16"/>
      <c r="AA85" s="16"/>
      <c r="AB85" s="16"/>
      <c r="AC85" s="16"/>
      <c r="AD85" s="16"/>
      <c r="AE85" s="16"/>
      <c r="AF85" s="16"/>
      <c r="AG85" s="16"/>
      <c r="AH85" s="16"/>
    </row>
    <row r="86" ht="15.75" customHeight="1">
      <c r="A86" s="1"/>
      <c r="B86" s="16" t="s">
        <v>223</v>
      </c>
      <c r="C86" s="16"/>
      <c r="D86" s="17" t="s">
        <v>192</v>
      </c>
      <c r="E86" s="18" t="s">
        <v>838</v>
      </c>
      <c r="F86" s="20"/>
      <c r="G86" s="22">
        <v>1.0</v>
      </c>
      <c r="H86" s="22">
        <v>2.0</v>
      </c>
      <c r="I86" s="22">
        <f t="shared" ref="I86:I88" si="21">6-H86</f>
        <v>4</v>
      </c>
      <c r="J86" s="22">
        <f t="shared" ref="J86:J88" si="22">I86+G86</f>
        <v>5</v>
      </c>
      <c r="K86" s="16" t="s">
        <v>75</v>
      </c>
      <c r="L86" s="16"/>
      <c r="M86" s="16"/>
      <c r="N86" s="16"/>
      <c r="O86" s="16"/>
      <c r="P86" s="16"/>
      <c r="Q86" s="16"/>
      <c r="R86" s="16"/>
      <c r="S86" s="16"/>
      <c r="T86" s="16"/>
      <c r="U86" s="16"/>
      <c r="V86" s="16"/>
      <c r="W86" s="16"/>
      <c r="X86" s="16"/>
      <c r="Y86" s="16"/>
      <c r="Z86" s="16"/>
      <c r="AA86" s="16"/>
      <c r="AB86" s="16"/>
      <c r="AC86" s="16"/>
      <c r="AD86" s="16"/>
      <c r="AE86" s="16"/>
      <c r="AF86" s="16"/>
      <c r="AG86" s="16"/>
      <c r="AH86" s="16"/>
    </row>
    <row r="87" ht="15.75" customHeight="1">
      <c r="A87" s="1"/>
      <c r="B87" s="16" t="s">
        <v>845</v>
      </c>
      <c r="C87" s="16"/>
      <c r="D87" s="17" t="s">
        <v>192</v>
      </c>
      <c r="E87" s="18" t="s">
        <v>846</v>
      </c>
      <c r="F87" s="20"/>
      <c r="G87" s="22">
        <v>1.0</v>
      </c>
      <c r="H87" s="22">
        <v>4.0</v>
      </c>
      <c r="I87" s="22">
        <f t="shared" si="21"/>
        <v>2</v>
      </c>
      <c r="J87" s="22">
        <f t="shared" si="22"/>
        <v>3</v>
      </c>
      <c r="K87" s="16" t="s">
        <v>75</v>
      </c>
      <c r="L87" s="16"/>
      <c r="M87" s="16"/>
      <c r="N87" s="16"/>
      <c r="O87" s="16"/>
      <c r="P87" s="16"/>
      <c r="Q87" s="16"/>
      <c r="R87" s="16"/>
      <c r="S87" s="16"/>
      <c r="T87" s="16"/>
      <c r="U87" s="16"/>
      <c r="V87" s="16"/>
      <c r="W87" s="16"/>
      <c r="X87" s="16"/>
      <c r="Y87" s="16"/>
      <c r="Z87" s="16"/>
      <c r="AA87" s="16"/>
      <c r="AB87" s="16"/>
      <c r="AC87" s="16"/>
      <c r="AD87" s="16"/>
      <c r="AE87" s="16"/>
      <c r="AF87" s="16"/>
      <c r="AG87" s="16"/>
      <c r="AH87" s="16"/>
    </row>
    <row r="88" ht="15.75" customHeight="1">
      <c r="A88" s="1"/>
      <c r="B88" s="16" t="s">
        <v>228</v>
      </c>
      <c r="C88" s="16"/>
      <c r="D88" s="17" t="s">
        <v>192</v>
      </c>
      <c r="E88" s="18"/>
      <c r="F88" s="20"/>
      <c r="G88" s="22">
        <v>1.0</v>
      </c>
      <c r="H88" s="22">
        <v>4.0</v>
      </c>
      <c r="I88" s="22">
        <f t="shared" si="21"/>
        <v>2</v>
      </c>
      <c r="J88" s="22">
        <f t="shared" si="22"/>
        <v>3</v>
      </c>
      <c r="K88" s="16" t="s">
        <v>118</v>
      </c>
      <c r="L88" s="16"/>
      <c r="M88" s="16"/>
      <c r="N88" s="16"/>
      <c r="O88" s="16"/>
      <c r="P88" s="16"/>
      <c r="Q88" s="16"/>
      <c r="R88" s="16"/>
      <c r="S88" s="16"/>
      <c r="T88" s="16"/>
      <c r="U88" s="16"/>
      <c r="V88" s="16"/>
      <c r="W88" s="16"/>
      <c r="X88" s="16"/>
      <c r="Y88" s="16"/>
      <c r="Z88" s="16"/>
      <c r="AA88" s="16"/>
      <c r="AB88" s="16"/>
      <c r="AC88" s="16"/>
      <c r="AD88" s="16"/>
      <c r="AE88" s="16"/>
      <c r="AF88" s="16"/>
      <c r="AG88" s="16"/>
      <c r="AH88" s="16"/>
    </row>
    <row r="89" ht="15.75" customHeight="1">
      <c r="A89" s="1"/>
      <c r="B89" s="16"/>
      <c r="C89" s="16"/>
      <c r="D89" s="17"/>
      <c r="E89" s="18"/>
      <c r="F89" s="20"/>
      <c r="G89" s="22"/>
      <c r="H89" s="22"/>
      <c r="I89" s="22"/>
      <c r="J89" s="22"/>
      <c r="K89" s="16"/>
      <c r="L89" s="16"/>
      <c r="M89" s="16"/>
      <c r="N89" s="16"/>
      <c r="O89" s="16"/>
      <c r="P89" s="16"/>
      <c r="Q89" s="16"/>
      <c r="R89" s="16"/>
      <c r="S89" s="16"/>
      <c r="T89" s="16"/>
      <c r="U89" s="16"/>
      <c r="V89" s="16"/>
      <c r="W89" s="16"/>
      <c r="X89" s="16"/>
      <c r="Y89" s="16"/>
      <c r="Z89" s="16"/>
      <c r="AA89" s="16"/>
      <c r="AB89" s="16"/>
      <c r="AC89" s="16"/>
      <c r="AD89" s="16"/>
      <c r="AE89" s="16"/>
      <c r="AF89" s="16"/>
      <c r="AG89" s="16"/>
      <c r="AH89" s="16"/>
    </row>
    <row r="90" ht="15.75" customHeight="1">
      <c r="A90" s="1"/>
      <c r="B90" s="16"/>
      <c r="C90" s="16"/>
      <c r="D90" s="17"/>
      <c r="E90" s="18"/>
      <c r="F90" s="20"/>
      <c r="G90" s="22"/>
      <c r="H90" s="22"/>
      <c r="I90" s="22"/>
      <c r="J90" s="22"/>
      <c r="K90" s="16"/>
      <c r="L90" s="16"/>
      <c r="M90" s="16"/>
      <c r="N90" s="16"/>
      <c r="O90" s="16"/>
      <c r="P90" s="16"/>
      <c r="Q90" s="16"/>
      <c r="R90" s="16"/>
      <c r="S90" s="16"/>
      <c r="T90" s="16"/>
      <c r="U90" s="16"/>
      <c r="V90" s="16"/>
      <c r="W90" s="16"/>
      <c r="X90" s="16"/>
      <c r="Y90" s="16"/>
      <c r="Z90" s="16"/>
      <c r="AA90" s="16"/>
      <c r="AB90" s="16"/>
      <c r="AC90" s="16"/>
      <c r="AD90" s="16"/>
      <c r="AE90" s="16"/>
      <c r="AF90" s="16"/>
      <c r="AG90" s="16"/>
      <c r="AH90" s="16"/>
    </row>
    <row r="91" ht="15.75" customHeight="1">
      <c r="A91" s="1"/>
      <c r="B91" s="16"/>
      <c r="C91" s="16"/>
      <c r="D91" s="17"/>
      <c r="E91" s="18"/>
      <c r="F91" s="20"/>
      <c r="G91" s="22"/>
      <c r="H91" s="22"/>
      <c r="I91" s="22"/>
      <c r="J91" s="22"/>
      <c r="K91" s="16"/>
      <c r="L91" s="16"/>
      <c r="M91" s="16"/>
      <c r="N91" s="16"/>
      <c r="O91" s="16"/>
      <c r="P91" s="16"/>
      <c r="Q91" s="16"/>
      <c r="R91" s="16"/>
      <c r="S91" s="16"/>
      <c r="T91" s="16"/>
      <c r="U91" s="16"/>
      <c r="V91" s="16"/>
      <c r="W91" s="16"/>
      <c r="X91" s="16"/>
      <c r="Y91" s="16"/>
      <c r="Z91" s="16"/>
      <c r="AA91" s="16"/>
      <c r="AB91" s="16"/>
      <c r="AC91" s="16"/>
      <c r="AD91" s="16"/>
      <c r="AE91" s="16"/>
      <c r="AF91" s="16"/>
      <c r="AG91" s="16"/>
      <c r="AH91" s="16"/>
    </row>
    <row r="92" ht="15.75" customHeight="1">
      <c r="A92" s="1" t="s">
        <v>185</v>
      </c>
      <c r="B92" s="16"/>
      <c r="C92" s="16"/>
      <c r="D92" s="17"/>
      <c r="E92" s="18"/>
      <c r="F92" s="20"/>
      <c r="G92" s="22"/>
      <c r="H92" s="22"/>
      <c r="I92" s="22"/>
      <c r="J92" s="22"/>
      <c r="K92" s="16"/>
      <c r="L92" s="16"/>
      <c r="M92" s="16"/>
      <c r="N92" s="16"/>
      <c r="O92" s="16"/>
      <c r="P92" s="16"/>
      <c r="Q92" s="16"/>
      <c r="R92" s="16"/>
      <c r="S92" s="16"/>
      <c r="T92" s="16"/>
      <c r="U92" s="16"/>
      <c r="V92" s="16"/>
      <c r="W92" s="16"/>
      <c r="X92" s="16"/>
      <c r="Y92" s="16"/>
      <c r="Z92" s="16"/>
      <c r="AA92" s="16"/>
      <c r="AB92" s="16"/>
      <c r="AC92" s="16"/>
      <c r="AD92" s="16"/>
      <c r="AE92" s="16"/>
      <c r="AF92" s="16"/>
      <c r="AG92" s="16"/>
      <c r="AH92" s="16"/>
    </row>
    <row r="93" ht="15.75" customHeight="1">
      <c r="A93" s="1"/>
      <c r="B93" s="16" t="s">
        <v>189</v>
      </c>
      <c r="C93" s="16"/>
      <c r="D93" s="17" t="s">
        <v>192</v>
      </c>
      <c r="E93" s="18"/>
      <c r="F93" s="20"/>
      <c r="G93" s="22"/>
      <c r="H93" s="22"/>
      <c r="I93" s="22"/>
      <c r="J93" s="22"/>
      <c r="K93" s="16" t="s">
        <v>118</v>
      </c>
      <c r="L93" s="16"/>
      <c r="M93" s="16"/>
      <c r="N93" s="16"/>
      <c r="O93" s="16"/>
      <c r="P93" s="16"/>
      <c r="Q93" s="16"/>
      <c r="R93" s="16"/>
      <c r="S93" s="16"/>
      <c r="T93" s="16"/>
      <c r="U93" s="16"/>
      <c r="V93" s="16"/>
      <c r="W93" s="16"/>
      <c r="X93" s="16"/>
      <c r="Y93" s="16"/>
      <c r="Z93" s="16"/>
      <c r="AA93" s="16"/>
      <c r="AB93" s="16"/>
      <c r="AC93" s="16"/>
      <c r="AD93" s="16"/>
      <c r="AE93" s="16"/>
      <c r="AF93" s="16"/>
      <c r="AG93" s="16"/>
      <c r="AH93" s="16"/>
    </row>
    <row r="94" ht="15.75" customHeight="1">
      <c r="A94" s="1"/>
      <c r="B94" s="16" t="s">
        <v>194</v>
      </c>
      <c r="C94" s="16"/>
      <c r="D94" s="17" t="s">
        <v>196</v>
      </c>
      <c r="E94" s="18"/>
      <c r="F94" s="20"/>
      <c r="G94" s="22"/>
      <c r="H94" s="22"/>
      <c r="I94" s="22"/>
      <c r="J94" s="22"/>
      <c r="K94" s="16" t="s">
        <v>118</v>
      </c>
      <c r="L94" s="16"/>
      <c r="M94" s="16"/>
      <c r="N94" s="16"/>
      <c r="O94" s="16"/>
      <c r="P94" s="16"/>
      <c r="Q94" s="16"/>
      <c r="R94" s="16"/>
      <c r="S94" s="16"/>
      <c r="T94" s="16"/>
      <c r="U94" s="16"/>
      <c r="V94" s="16"/>
      <c r="W94" s="16"/>
      <c r="X94" s="16"/>
      <c r="Y94" s="16"/>
      <c r="Z94" s="16"/>
      <c r="AA94" s="16"/>
      <c r="AB94" s="16"/>
      <c r="AC94" s="16"/>
      <c r="AD94" s="16"/>
      <c r="AE94" s="16"/>
      <c r="AF94" s="16"/>
      <c r="AG94" s="16"/>
      <c r="AH94" s="16"/>
    </row>
    <row r="95" ht="15.75" customHeight="1">
      <c r="A95" s="1"/>
      <c r="B95" s="16" t="s">
        <v>199</v>
      </c>
      <c r="C95" s="16"/>
      <c r="D95" s="17" t="s">
        <v>196</v>
      </c>
      <c r="E95" s="18"/>
      <c r="F95" s="20"/>
      <c r="G95" s="22"/>
      <c r="H95" s="22"/>
      <c r="I95" s="22"/>
      <c r="J95" s="22"/>
      <c r="K95" s="16" t="s">
        <v>118</v>
      </c>
      <c r="L95" s="16"/>
      <c r="M95" s="16"/>
      <c r="N95" s="16"/>
      <c r="O95" s="16"/>
      <c r="P95" s="16"/>
      <c r="Q95" s="16"/>
      <c r="R95" s="16"/>
      <c r="S95" s="16"/>
      <c r="T95" s="16"/>
      <c r="U95" s="16"/>
      <c r="V95" s="16"/>
      <c r="W95" s="16"/>
      <c r="X95" s="16"/>
      <c r="Y95" s="16"/>
      <c r="Z95" s="16"/>
      <c r="AA95" s="16"/>
      <c r="AB95" s="16"/>
      <c r="AC95" s="16"/>
      <c r="AD95" s="16"/>
      <c r="AE95" s="16"/>
      <c r="AF95" s="16"/>
      <c r="AG95" s="16"/>
      <c r="AH95" s="16"/>
    </row>
    <row r="96" ht="15.75" customHeight="1">
      <c r="A96" s="1"/>
      <c r="B96" s="16" t="s">
        <v>145</v>
      </c>
      <c r="C96" s="16"/>
      <c r="D96" s="17" t="s">
        <v>196</v>
      </c>
      <c r="E96" s="18"/>
      <c r="F96" s="20"/>
      <c r="G96" s="22"/>
      <c r="H96" s="22"/>
      <c r="I96" s="22"/>
      <c r="J96" s="22"/>
      <c r="K96" s="16" t="s">
        <v>143</v>
      </c>
      <c r="L96" s="16"/>
      <c r="M96" s="16"/>
      <c r="N96" s="16"/>
      <c r="O96" s="16"/>
      <c r="P96" s="16"/>
      <c r="Q96" s="16"/>
      <c r="R96" s="16"/>
      <c r="S96" s="16"/>
      <c r="T96" s="16"/>
      <c r="U96" s="16"/>
      <c r="V96" s="16"/>
      <c r="W96" s="16"/>
      <c r="X96" s="16"/>
      <c r="Y96" s="16"/>
      <c r="Z96" s="16"/>
      <c r="AA96" s="16"/>
      <c r="AB96" s="16"/>
      <c r="AC96" s="16"/>
      <c r="AD96" s="16"/>
      <c r="AE96" s="16"/>
      <c r="AF96" s="16"/>
      <c r="AG96" s="16"/>
      <c r="AH96" s="16"/>
    </row>
    <row r="97" ht="15.75" customHeight="1">
      <c r="A97" s="1"/>
      <c r="B97" s="16" t="s">
        <v>202</v>
      </c>
      <c r="C97" s="16"/>
      <c r="D97" s="17" t="s">
        <v>196</v>
      </c>
      <c r="E97" s="18"/>
      <c r="F97" s="20"/>
      <c r="G97" s="22"/>
      <c r="H97" s="22"/>
      <c r="I97" s="22"/>
      <c r="J97" s="22"/>
      <c r="K97" s="16" t="s">
        <v>118</v>
      </c>
      <c r="L97" s="16"/>
      <c r="M97" s="16"/>
      <c r="N97" s="16"/>
      <c r="O97" s="16"/>
      <c r="P97" s="16"/>
      <c r="Q97" s="16"/>
      <c r="R97" s="16"/>
      <c r="S97" s="16"/>
      <c r="T97" s="16"/>
      <c r="U97" s="16"/>
      <c r="V97" s="16"/>
      <c r="W97" s="16"/>
      <c r="X97" s="16"/>
      <c r="Y97" s="16"/>
      <c r="Z97" s="16"/>
      <c r="AA97" s="16"/>
      <c r="AB97" s="16"/>
      <c r="AC97" s="16"/>
      <c r="AD97" s="16"/>
      <c r="AE97" s="16"/>
      <c r="AF97" s="16"/>
      <c r="AG97" s="16"/>
      <c r="AH97" s="16"/>
    </row>
    <row r="98" ht="15.75" customHeight="1">
      <c r="A98" s="1"/>
      <c r="B98" s="16" t="s">
        <v>205</v>
      </c>
      <c r="C98" s="16"/>
      <c r="D98" s="17"/>
      <c r="E98" s="18"/>
      <c r="F98" s="20"/>
      <c r="G98" s="22"/>
      <c r="H98" s="22"/>
      <c r="I98" s="22"/>
      <c r="J98" s="22"/>
      <c r="K98" s="16" t="s">
        <v>118</v>
      </c>
      <c r="L98" s="16"/>
      <c r="M98" s="16"/>
      <c r="N98" s="16"/>
      <c r="O98" s="16"/>
      <c r="P98" s="16"/>
      <c r="Q98" s="16"/>
      <c r="R98" s="16"/>
      <c r="S98" s="16"/>
      <c r="T98" s="16"/>
      <c r="U98" s="16"/>
      <c r="V98" s="16"/>
      <c r="W98" s="16"/>
      <c r="X98" s="16"/>
      <c r="Y98" s="16"/>
      <c r="Z98" s="16"/>
      <c r="AA98" s="16"/>
      <c r="AB98" s="16"/>
      <c r="AC98" s="16"/>
      <c r="AD98" s="16"/>
      <c r="AE98" s="16"/>
      <c r="AF98" s="16"/>
      <c r="AG98" s="16"/>
      <c r="AH98" s="16"/>
    </row>
    <row r="99" ht="15.75" customHeight="1">
      <c r="A99" s="1"/>
      <c r="B99" s="16" t="s">
        <v>209</v>
      </c>
      <c r="C99" s="16"/>
      <c r="D99" s="17"/>
      <c r="E99" s="18"/>
      <c r="F99" s="20"/>
      <c r="G99" s="22"/>
      <c r="H99" s="22"/>
      <c r="I99" s="22"/>
      <c r="J99" s="22"/>
      <c r="K99" s="16" t="s">
        <v>118</v>
      </c>
      <c r="L99" s="16"/>
      <c r="M99" s="16"/>
      <c r="N99" s="16"/>
      <c r="O99" s="16"/>
      <c r="P99" s="16"/>
      <c r="Q99" s="16"/>
      <c r="R99" s="16"/>
      <c r="S99" s="16"/>
      <c r="T99" s="16"/>
      <c r="U99" s="16"/>
      <c r="V99" s="16"/>
      <c r="W99" s="16"/>
      <c r="X99" s="16"/>
      <c r="Y99" s="16"/>
      <c r="Z99" s="16"/>
      <c r="AA99" s="16"/>
      <c r="AB99" s="16"/>
      <c r="AC99" s="16"/>
      <c r="AD99" s="16"/>
      <c r="AE99" s="16"/>
      <c r="AF99" s="16"/>
      <c r="AG99" s="16"/>
      <c r="AH99" s="16"/>
    </row>
    <row r="100" ht="15.75" customHeight="1">
      <c r="A100" s="1"/>
      <c r="B100" s="16"/>
      <c r="C100" s="16"/>
      <c r="D100" s="17"/>
      <c r="E100" s="18"/>
      <c r="F100" s="20"/>
      <c r="G100" s="22"/>
      <c r="H100" s="22"/>
      <c r="I100" s="22"/>
      <c r="J100" s="22"/>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ht="15.75" customHeight="1">
      <c r="A101" s="1"/>
      <c r="B101" s="16"/>
      <c r="C101" s="16"/>
      <c r="D101" s="17"/>
      <c r="E101" s="18"/>
      <c r="F101" s="20"/>
      <c r="G101" s="22"/>
      <c r="H101" s="22"/>
      <c r="I101" s="22"/>
      <c r="J101" s="22"/>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ht="15.75" customHeight="1">
      <c r="A102" s="1" t="s">
        <v>211</v>
      </c>
      <c r="B102" s="16"/>
      <c r="C102" s="16"/>
      <c r="D102" s="17"/>
      <c r="E102" s="18"/>
      <c r="F102" s="20"/>
      <c r="G102" s="22"/>
      <c r="H102" s="22"/>
      <c r="I102" s="22"/>
      <c r="J102" s="22"/>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ht="15.75" customHeight="1">
      <c r="A103" s="1"/>
      <c r="B103" s="16" t="s">
        <v>212</v>
      </c>
      <c r="C103" s="16"/>
      <c r="D103" s="17" t="s">
        <v>211</v>
      </c>
      <c r="E103" s="18" t="s">
        <v>214</v>
      </c>
      <c r="F103" s="20"/>
      <c r="G103" s="22"/>
      <c r="H103" s="22"/>
      <c r="I103" s="22"/>
      <c r="J103" s="22"/>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ht="15.75" customHeight="1">
      <c r="A104" s="1"/>
      <c r="B104" s="16" t="s">
        <v>215</v>
      </c>
      <c r="C104" s="16"/>
      <c r="D104" s="17" t="s">
        <v>211</v>
      </c>
      <c r="E104" s="18"/>
      <c r="F104" s="20"/>
      <c r="G104" s="22"/>
      <c r="H104" s="22"/>
      <c r="I104" s="22"/>
      <c r="J104" s="22"/>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ht="15.75" customHeight="1">
      <c r="A105" s="1"/>
      <c r="B105" s="16"/>
      <c r="C105" s="16"/>
      <c r="D105" s="17"/>
      <c r="E105" s="18"/>
      <c r="F105" s="20"/>
      <c r="G105" s="22"/>
      <c r="H105" s="22"/>
      <c r="I105" s="22"/>
      <c r="J105" s="22"/>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ht="15.75" customHeight="1">
      <c r="A106" s="1"/>
      <c r="B106" s="16"/>
      <c r="C106" s="16"/>
      <c r="D106" s="17"/>
      <c r="E106" s="18"/>
      <c r="F106" s="20"/>
      <c r="G106" s="22"/>
      <c r="H106" s="22"/>
      <c r="I106" s="22"/>
      <c r="J106" s="22"/>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ht="15.75" customHeight="1">
      <c r="A107" s="1"/>
      <c r="B107" s="16"/>
      <c r="C107" s="16"/>
      <c r="D107" s="17"/>
      <c r="E107" s="18"/>
      <c r="F107" s="20"/>
      <c r="G107" s="22"/>
      <c r="H107" s="22"/>
      <c r="I107" s="22"/>
      <c r="J107" s="22"/>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ht="15.75" customHeight="1">
      <c r="A108" s="1"/>
      <c r="B108" s="16"/>
      <c r="C108" s="16"/>
      <c r="D108" s="17"/>
      <c r="E108" s="18"/>
      <c r="F108" s="20"/>
      <c r="G108" s="22"/>
      <c r="H108" s="22"/>
      <c r="I108" s="22"/>
      <c r="J108" s="22"/>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ht="15.75" customHeight="1">
      <c r="A109" s="1"/>
      <c r="B109" s="16"/>
      <c r="C109" s="16"/>
      <c r="D109" s="17"/>
      <c r="E109" s="18"/>
      <c r="F109" s="20"/>
      <c r="G109" s="22"/>
      <c r="H109" s="22"/>
      <c r="I109" s="22"/>
      <c r="J109" s="22"/>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ht="15.75" customHeight="1">
      <c r="A110" s="1"/>
      <c r="B110" s="16"/>
      <c r="C110" s="16"/>
      <c r="D110" s="17"/>
      <c r="E110" s="18"/>
      <c r="F110" s="20"/>
      <c r="G110" s="22"/>
      <c r="H110" s="22"/>
      <c r="I110" s="22"/>
      <c r="J110" s="22"/>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ht="15.75" customHeight="1">
      <c r="A111" s="1"/>
      <c r="B111" s="16"/>
      <c r="C111" s="16"/>
      <c r="D111" s="17"/>
      <c r="E111" s="18"/>
      <c r="F111" s="20"/>
      <c r="G111" s="22"/>
      <c r="H111" s="22"/>
      <c r="I111" s="22"/>
      <c r="J111" s="22"/>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ht="15.75" customHeight="1">
      <c r="A112" s="1"/>
      <c r="B112" s="16"/>
      <c r="C112" s="16"/>
      <c r="D112" s="17"/>
      <c r="E112" s="18"/>
      <c r="F112" s="20"/>
      <c r="G112" s="22"/>
      <c r="H112" s="22"/>
      <c r="I112" s="22"/>
      <c r="J112" s="22"/>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ht="15.75" customHeight="1">
      <c r="A113" s="1"/>
      <c r="B113" s="16"/>
      <c r="C113" s="16"/>
      <c r="D113" s="17"/>
      <c r="E113" s="18"/>
      <c r="F113" s="20"/>
      <c r="G113" s="22"/>
      <c r="H113" s="22"/>
      <c r="I113" s="22"/>
      <c r="J113" s="22"/>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ht="15.75" customHeight="1">
      <c r="A114" s="1"/>
      <c r="B114" s="16"/>
      <c r="C114" s="16"/>
      <c r="D114" s="17"/>
      <c r="E114" s="18"/>
      <c r="F114" s="20"/>
      <c r="G114" s="22"/>
      <c r="H114" s="22"/>
      <c r="I114" s="22"/>
      <c r="J114" s="22"/>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ht="15.75" customHeight="1">
      <c r="A115" s="1"/>
      <c r="B115" s="16"/>
      <c r="C115" s="16"/>
      <c r="D115" s="17"/>
      <c r="E115" s="18"/>
      <c r="F115" s="20"/>
      <c r="G115" s="22"/>
      <c r="H115" s="22"/>
      <c r="I115" s="22"/>
      <c r="J115" s="22"/>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ht="15.75" customHeight="1">
      <c r="A116" s="1"/>
      <c r="B116" s="16"/>
      <c r="C116" s="16"/>
      <c r="D116" s="17"/>
      <c r="E116" s="18"/>
      <c r="F116" s="20"/>
      <c r="G116" s="22"/>
      <c r="H116" s="22"/>
      <c r="I116" s="22"/>
      <c r="J116" s="22"/>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ht="15.75" customHeight="1">
      <c r="A117" s="1"/>
      <c r="B117" s="16"/>
      <c r="C117" s="16"/>
      <c r="D117" s="17"/>
      <c r="E117" s="18"/>
      <c r="F117" s="20"/>
      <c r="G117" s="22"/>
      <c r="H117" s="22"/>
      <c r="I117" s="22"/>
      <c r="J117" s="22"/>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ht="15.75" customHeight="1">
      <c r="A118" s="1"/>
      <c r="B118" s="16"/>
      <c r="C118" s="16"/>
      <c r="D118" s="17"/>
      <c r="E118" s="18"/>
      <c r="F118" s="20"/>
      <c r="G118" s="22"/>
      <c r="H118" s="22"/>
      <c r="I118" s="22"/>
      <c r="J118" s="22"/>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ht="15.75" customHeight="1">
      <c r="A119" s="1"/>
      <c r="B119" s="16"/>
      <c r="C119" s="16"/>
      <c r="D119" s="17"/>
      <c r="E119" s="18"/>
      <c r="F119" s="20"/>
      <c r="G119" s="22"/>
      <c r="H119" s="22"/>
      <c r="I119" s="22"/>
      <c r="J119" s="22"/>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ht="15.75" customHeight="1">
      <c r="A120" s="1"/>
      <c r="B120" s="16"/>
      <c r="C120" s="16"/>
      <c r="D120" s="17"/>
      <c r="E120" s="18"/>
      <c r="F120" s="20"/>
      <c r="G120" s="22"/>
      <c r="H120" s="22"/>
      <c r="I120" s="22"/>
      <c r="J120" s="22"/>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ht="15.75" customHeight="1">
      <c r="A121" s="1"/>
      <c r="B121" s="16"/>
      <c r="C121" s="16"/>
      <c r="D121" s="17"/>
      <c r="E121" s="18"/>
      <c r="F121" s="20"/>
      <c r="G121" s="22"/>
      <c r="H121" s="22"/>
      <c r="I121" s="22"/>
      <c r="J121" s="22"/>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ht="15.75" customHeight="1">
      <c r="A122" s="1"/>
      <c r="B122" s="16"/>
      <c r="C122" s="16"/>
      <c r="D122" s="17"/>
      <c r="E122" s="18"/>
      <c r="F122" s="20"/>
      <c r="G122" s="22"/>
      <c r="H122" s="22"/>
      <c r="I122" s="22"/>
      <c r="J122" s="22"/>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ht="15.75" customHeight="1">
      <c r="A123" s="1"/>
      <c r="B123" s="16"/>
      <c r="C123" s="16"/>
      <c r="D123" s="17"/>
      <c r="E123" s="18"/>
      <c r="F123" s="20"/>
      <c r="G123" s="22"/>
      <c r="H123" s="22"/>
      <c r="I123" s="22"/>
      <c r="J123" s="22"/>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ht="15.75" customHeight="1">
      <c r="A124" s="1"/>
      <c r="B124" s="16"/>
      <c r="C124" s="16"/>
      <c r="D124" s="17"/>
      <c r="E124" s="18"/>
      <c r="F124" s="20"/>
      <c r="G124" s="22"/>
      <c r="H124" s="22"/>
      <c r="I124" s="22"/>
      <c r="J124" s="22"/>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ht="15.75" customHeight="1">
      <c r="A125" s="1"/>
      <c r="B125" s="16"/>
      <c r="C125" s="16"/>
      <c r="D125" s="17"/>
      <c r="E125" s="18"/>
      <c r="F125" s="20"/>
      <c r="G125" s="22"/>
      <c r="H125" s="22"/>
      <c r="I125" s="22"/>
      <c r="J125" s="22"/>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ht="15.75" customHeight="1">
      <c r="A126" s="1"/>
      <c r="B126" s="16"/>
      <c r="C126" s="16"/>
      <c r="D126" s="17"/>
      <c r="E126" s="18"/>
      <c r="F126" s="20"/>
      <c r="G126" s="22"/>
      <c r="H126" s="22"/>
      <c r="I126" s="22"/>
      <c r="J126" s="22"/>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ht="15.75" customHeight="1">
      <c r="A127" s="1"/>
      <c r="B127" s="16"/>
      <c r="C127" s="16"/>
      <c r="D127" s="17"/>
      <c r="E127" s="18"/>
      <c r="F127" s="20"/>
      <c r="G127" s="22"/>
      <c r="H127" s="22"/>
      <c r="I127" s="22"/>
      <c r="J127" s="22"/>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ht="15.75" customHeight="1">
      <c r="A128" s="1"/>
      <c r="B128" s="16"/>
      <c r="C128" s="16"/>
      <c r="D128" s="17"/>
      <c r="E128" s="18"/>
      <c r="F128" s="20"/>
      <c r="G128" s="22"/>
      <c r="H128" s="22"/>
      <c r="I128" s="22"/>
      <c r="J128" s="22"/>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ht="15.75" customHeight="1">
      <c r="A129" s="1"/>
      <c r="B129" s="16"/>
      <c r="C129" s="16"/>
      <c r="D129" s="17"/>
      <c r="E129" s="18"/>
      <c r="F129" s="20"/>
      <c r="G129" s="22"/>
      <c r="H129" s="22"/>
      <c r="I129" s="22"/>
      <c r="J129" s="22"/>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ht="15.75" customHeight="1">
      <c r="A130" s="1"/>
      <c r="B130" s="16"/>
      <c r="C130" s="16"/>
      <c r="D130" s="17"/>
      <c r="E130" s="18"/>
      <c r="F130" s="20"/>
      <c r="G130" s="22"/>
      <c r="H130" s="22"/>
      <c r="I130" s="22"/>
      <c r="J130" s="22"/>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ht="15.75" customHeight="1">
      <c r="A131" s="1"/>
      <c r="B131" s="16"/>
      <c r="C131" s="16"/>
      <c r="D131" s="17"/>
      <c r="E131" s="18"/>
      <c r="F131" s="20"/>
      <c r="G131" s="22"/>
      <c r="H131" s="22"/>
      <c r="I131" s="22"/>
      <c r="J131" s="22"/>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ht="15.75" customHeight="1">
      <c r="A132" s="1"/>
      <c r="B132" s="16"/>
      <c r="C132" s="16"/>
      <c r="D132" s="17"/>
      <c r="E132" s="18"/>
      <c r="F132" s="20"/>
      <c r="G132" s="22"/>
      <c r="H132" s="22"/>
      <c r="I132" s="22"/>
      <c r="J132" s="22"/>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ht="15.75" customHeight="1">
      <c r="A133" s="1"/>
      <c r="B133" s="16"/>
      <c r="C133" s="16"/>
      <c r="D133" s="17"/>
      <c r="E133" s="18"/>
      <c r="F133" s="20"/>
      <c r="G133" s="22"/>
      <c r="H133" s="22"/>
      <c r="I133" s="22"/>
      <c r="J133" s="22"/>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ht="15.75" customHeight="1">
      <c r="A134" s="1"/>
      <c r="B134" s="16"/>
      <c r="C134" s="16"/>
      <c r="D134" s="17"/>
      <c r="E134" s="18"/>
      <c r="F134" s="20"/>
      <c r="G134" s="22"/>
      <c r="H134" s="22"/>
      <c r="I134" s="22"/>
      <c r="J134" s="22"/>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ht="15.75" customHeight="1">
      <c r="A135" s="1"/>
      <c r="B135" s="16"/>
      <c r="C135" s="16"/>
      <c r="D135" s="17"/>
      <c r="E135" s="18"/>
      <c r="F135" s="20"/>
      <c r="G135" s="22"/>
      <c r="H135" s="22"/>
      <c r="I135" s="22"/>
      <c r="J135" s="22"/>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ht="15.75" customHeight="1">
      <c r="A136" s="1"/>
      <c r="B136" s="16"/>
      <c r="C136" s="16"/>
      <c r="D136" s="17"/>
      <c r="E136" s="18"/>
      <c r="F136" s="20"/>
      <c r="G136" s="22"/>
      <c r="H136" s="22"/>
      <c r="I136" s="22"/>
      <c r="J136" s="22"/>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ht="15.75" customHeight="1">
      <c r="A137" s="1"/>
      <c r="B137" s="16"/>
      <c r="C137" s="16"/>
      <c r="D137" s="17"/>
      <c r="E137" s="18"/>
      <c r="F137" s="20"/>
      <c r="G137" s="22"/>
      <c r="H137" s="22"/>
      <c r="I137" s="22"/>
      <c r="J137" s="22"/>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ht="15.75" customHeight="1">
      <c r="A138" s="1"/>
      <c r="B138" s="16"/>
      <c r="C138" s="16"/>
      <c r="D138" s="17"/>
      <c r="E138" s="18"/>
      <c r="F138" s="20"/>
      <c r="G138" s="22"/>
      <c r="H138" s="22"/>
      <c r="I138" s="22"/>
      <c r="J138" s="22"/>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ht="15.75" customHeight="1">
      <c r="A139" s="1"/>
      <c r="B139" s="16"/>
      <c r="C139" s="16"/>
      <c r="D139" s="17"/>
      <c r="E139" s="18"/>
      <c r="F139" s="20"/>
      <c r="G139" s="22"/>
      <c r="H139" s="22"/>
      <c r="I139" s="22"/>
      <c r="J139" s="22"/>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ht="15.75" customHeight="1">
      <c r="A140" s="1"/>
      <c r="B140" s="16"/>
      <c r="C140" s="16"/>
      <c r="D140" s="17"/>
      <c r="E140" s="18"/>
      <c r="F140" s="20"/>
      <c r="G140" s="22"/>
      <c r="H140" s="22"/>
      <c r="I140" s="22"/>
      <c r="J140" s="22"/>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ht="15.75" customHeight="1">
      <c r="A141" s="1"/>
      <c r="B141" s="16"/>
      <c r="C141" s="16"/>
      <c r="D141" s="17"/>
      <c r="E141" s="18"/>
      <c r="F141" s="20"/>
      <c r="G141" s="22"/>
      <c r="H141" s="22"/>
      <c r="I141" s="22"/>
      <c r="J141" s="22"/>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ht="15.75" customHeight="1">
      <c r="A142" s="1"/>
      <c r="B142" s="16"/>
      <c r="C142" s="16"/>
      <c r="D142" s="17"/>
      <c r="E142" s="18"/>
      <c r="F142" s="20"/>
      <c r="G142" s="22"/>
      <c r="H142" s="22"/>
      <c r="I142" s="22"/>
      <c r="J142" s="22"/>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ht="15.75" customHeight="1">
      <c r="A143" s="1"/>
      <c r="B143" s="16"/>
      <c r="C143" s="16"/>
      <c r="D143" s="17"/>
      <c r="E143" s="18"/>
      <c r="F143" s="20"/>
      <c r="G143" s="22"/>
      <c r="H143" s="22"/>
      <c r="I143" s="22"/>
      <c r="J143" s="22"/>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ht="15.75" customHeight="1">
      <c r="A144" s="1"/>
      <c r="B144" s="16"/>
      <c r="C144" s="16"/>
      <c r="D144" s="17"/>
      <c r="E144" s="18"/>
      <c r="F144" s="20"/>
      <c r="G144" s="22"/>
      <c r="H144" s="22"/>
      <c r="I144" s="22"/>
      <c r="J144" s="22"/>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ht="15.75" customHeight="1">
      <c r="A145" s="1"/>
      <c r="B145" s="16"/>
      <c r="C145" s="16"/>
      <c r="D145" s="17"/>
      <c r="E145" s="18"/>
      <c r="F145" s="20"/>
      <c r="G145" s="22"/>
      <c r="H145" s="22"/>
      <c r="I145" s="22"/>
      <c r="J145" s="22"/>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ht="15.75" customHeight="1">
      <c r="A146" s="1"/>
      <c r="B146" s="16"/>
      <c r="C146" s="16"/>
      <c r="D146" s="17"/>
      <c r="E146" s="18"/>
      <c r="F146" s="20"/>
      <c r="G146" s="22"/>
      <c r="H146" s="22"/>
      <c r="I146" s="22"/>
      <c r="J146" s="22"/>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ht="15.75" customHeight="1">
      <c r="A147" s="1"/>
      <c r="B147" s="16"/>
      <c r="C147" s="16"/>
      <c r="D147" s="17"/>
      <c r="E147" s="18"/>
      <c r="F147" s="20"/>
      <c r="G147" s="22"/>
      <c r="H147" s="22"/>
      <c r="I147" s="22"/>
      <c r="J147" s="22"/>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ht="15.75" customHeight="1">
      <c r="A148" s="1"/>
      <c r="B148" s="16"/>
      <c r="C148" s="16"/>
      <c r="D148" s="17"/>
      <c r="E148" s="18"/>
      <c r="F148" s="20"/>
      <c r="G148" s="22"/>
      <c r="H148" s="22"/>
      <c r="I148" s="22"/>
      <c r="J148" s="22"/>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ht="15.75" customHeight="1">
      <c r="A149" s="1"/>
      <c r="B149" s="16"/>
      <c r="C149" s="16"/>
      <c r="D149" s="17"/>
      <c r="E149" s="18"/>
      <c r="F149" s="20"/>
      <c r="G149" s="22"/>
      <c r="H149" s="22"/>
      <c r="I149" s="22"/>
      <c r="J149" s="22"/>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ht="15.75" customHeight="1">
      <c r="A150" s="1"/>
      <c r="B150" s="16"/>
      <c r="C150" s="16"/>
      <c r="D150" s="17"/>
      <c r="E150" s="18"/>
      <c r="F150" s="20"/>
      <c r="G150" s="22"/>
      <c r="H150" s="22"/>
      <c r="I150" s="22"/>
      <c r="J150" s="22"/>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ht="15.75" customHeight="1">
      <c r="A151" s="1"/>
      <c r="B151" s="16"/>
      <c r="C151" s="16"/>
      <c r="D151" s="17"/>
      <c r="E151" s="18"/>
      <c r="F151" s="20"/>
      <c r="G151" s="22"/>
      <c r="H151" s="22"/>
      <c r="I151" s="22"/>
      <c r="J151" s="22"/>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ht="15.75" customHeight="1">
      <c r="A152" s="1"/>
      <c r="B152" s="16"/>
      <c r="C152" s="16"/>
      <c r="D152" s="17"/>
      <c r="E152" s="18"/>
      <c r="F152" s="20"/>
      <c r="G152" s="22"/>
      <c r="H152" s="22"/>
      <c r="I152" s="22"/>
      <c r="J152" s="22"/>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ht="15.75" customHeight="1">
      <c r="A153" s="1"/>
      <c r="B153" s="16"/>
      <c r="C153" s="16"/>
      <c r="D153" s="17"/>
      <c r="E153" s="18"/>
      <c r="F153" s="20"/>
      <c r="G153" s="22"/>
      <c r="H153" s="22"/>
      <c r="I153" s="22"/>
      <c r="J153" s="22"/>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ht="15.75" customHeight="1">
      <c r="A154" s="1"/>
      <c r="B154" s="16"/>
      <c r="C154" s="16"/>
      <c r="D154" s="17"/>
      <c r="E154" s="18"/>
      <c r="F154" s="20"/>
      <c r="G154" s="22"/>
      <c r="H154" s="22"/>
      <c r="I154" s="22"/>
      <c r="J154" s="22"/>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ht="15.75" customHeight="1">
      <c r="A155" s="1"/>
      <c r="B155" s="16"/>
      <c r="C155" s="16"/>
      <c r="D155" s="17"/>
      <c r="E155" s="18"/>
      <c r="F155" s="20"/>
      <c r="G155" s="22"/>
      <c r="H155" s="22"/>
      <c r="I155" s="22"/>
      <c r="J155" s="22"/>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ht="15.75" customHeight="1">
      <c r="A156" s="1"/>
      <c r="B156" s="16"/>
      <c r="C156" s="16"/>
      <c r="D156" s="17"/>
      <c r="E156" s="18"/>
      <c r="F156" s="20"/>
      <c r="G156" s="22"/>
      <c r="H156" s="22"/>
      <c r="I156" s="22"/>
      <c r="J156" s="22"/>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ht="15.75" customHeight="1">
      <c r="A157" s="1"/>
      <c r="B157" s="16"/>
      <c r="C157" s="16"/>
      <c r="D157" s="17"/>
      <c r="E157" s="18"/>
      <c r="F157" s="20"/>
      <c r="G157" s="22"/>
      <c r="H157" s="22"/>
      <c r="I157" s="22"/>
      <c r="J157" s="22"/>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ht="15.75" customHeight="1">
      <c r="A158" s="1"/>
      <c r="B158" s="16"/>
      <c r="C158" s="16"/>
      <c r="D158" s="17"/>
      <c r="E158" s="18"/>
      <c r="F158" s="20"/>
      <c r="G158" s="22"/>
      <c r="H158" s="22"/>
      <c r="I158" s="22"/>
      <c r="J158" s="22"/>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ht="15.75" customHeight="1">
      <c r="A159" s="1"/>
      <c r="B159" s="16"/>
      <c r="C159" s="16"/>
      <c r="D159" s="17"/>
      <c r="E159" s="18"/>
      <c r="F159" s="20"/>
      <c r="G159" s="22"/>
      <c r="H159" s="22"/>
      <c r="I159" s="22"/>
      <c r="J159" s="22"/>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ht="15.75" customHeight="1">
      <c r="A160" s="1"/>
      <c r="B160" s="16"/>
      <c r="C160" s="16"/>
      <c r="D160" s="17"/>
      <c r="E160" s="18"/>
      <c r="F160" s="20"/>
      <c r="G160" s="22"/>
      <c r="H160" s="22"/>
      <c r="I160" s="22"/>
      <c r="J160" s="22"/>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ht="15.75" customHeight="1">
      <c r="A161" s="1"/>
      <c r="B161" s="16"/>
      <c r="C161" s="16"/>
      <c r="D161" s="17"/>
      <c r="E161" s="18"/>
      <c r="F161" s="20"/>
      <c r="G161" s="22"/>
      <c r="H161" s="22"/>
      <c r="I161" s="22"/>
      <c r="J161" s="22"/>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ht="15.75" customHeight="1">
      <c r="A162" s="1"/>
      <c r="B162" s="16"/>
      <c r="C162" s="16"/>
      <c r="D162" s="17"/>
      <c r="E162" s="18"/>
      <c r="F162" s="20"/>
      <c r="G162" s="22"/>
      <c r="H162" s="22"/>
      <c r="I162" s="22"/>
      <c r="J162" s="22"/>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ht="15.75" customHeight="1">
      <c r="A163" s="1"/>
      <c r="B163" s="16"/>
      <c r="C163" s="16"/>
      <c r="D163" s="17"/>
      <c r="E163" s="18"/>
      <c r="F163" s="20"/>
      <c r="G163" s="22"/>
      <c r="H163" s="22"/>
      <c r="I163" s="22"/>
      <c r="J163" s="22"/>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ht="15.75" customHeight="1">
      <c r="A164" s="1"/>
      <c r="B164" s="16"/>
      <c r="C164" s="16"/>
      <c r="D164" s="17"/>
      <c r="E164" s="18"/>
      <c r="F164" s="20"/>
      <c r="G164" s="22"/>
      <c r="H164" s="22"/>
      <c r="I164" s="22"/>
      <c r="J164" s="22"/>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ht="15.75" customHeight="1">
      <c r="A165" s="1"/>
      <c r="B165" s="16"/>
      <c r="C165" s="16"/>
      <c r="D165" s="17"/>
      <c r="E165" s="18"/>
      <c r="F165" s="20"/>
      <c r="G165" s="22"/>
      <c r="H165" s="22"/>
      <c r="I165" s="22"/>
      <c r="J165" s="22"/>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ht="15.75" customHeight="1">
      <c r="A166" s="1"/>
      <c r="B166" s="16"/>
      <c r="C166" s="16"/>
      <c r="D166" s="17"/>
      <c r="E166" s="18"/>
      <c r="F166" s="20"/>
      <c r="G166" s="22"/>
      <c r="H166" s="22"/>
      <c r="I166" s="22"/>
      <c r="J166" s="22"/>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ht="15.75" customHeight="1">
      <c r="A167" s="1"/>
      <c r="B167" s="16"/>
      <c r="C167" s="16"/>
      <c r="D167" s="17"/>
      <c r="E167" s="18"/>
      <c r="F167" s="20"/>
      <c r="G167" s="22"/>
      <c r="H167" s="22"/>
      <c r="I167" s="22"/>
      <c r="J167" s="22"/>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ht="15.75" customHeight="1">
      <c r="A168" s="1"/>
      <c r="B168" s="16"/>
      <c r="C168" s="16"/>
      <c r="D168" s="17"/>
      <c r="E168" s="18"/>
      <c r="F168" s="20"/>
      <c r="G168" s="22"/>
      <c r="H168" s="22"/>
      <c r="I168" s="22"/>
      <c r="J168" s="22"/>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ht="15.75" customHeight="1">
      <c r="A169" s="1"/>
      <c r="B169" s="16"/>
      <c r="C169" s="16"/>
      <c r="D169" s="17"/>
      <c r="E169" s="18"/>
      <c r="F169" s="20"/>
      <c r="G169" s="22"/>
      <c r="H169" s="22"/>
      <c r="I169" s="22"/>
      <c r="J169" s="22"/>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ht="15.75" customHeight="1">
      <c r="A170" s="1"/>
      <c r="B170" s="16"/>
      <c r="C170" s="16"/>
      <c r="D170" s="17"/>
      <c r="E170" s="18"/>
      <c r="F170" s="20"/>
      <c r="G170" s="22"/>
      <c r="H170" s="22"/>
      <c r="I170" s="22"/>
      <c r="J170" s="22"/>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ht="15.75" customHeight="1">
      <c r="A171" s="1"/>
      <c r="B171" s="16"/>
      <c r="C171" s="16"/>
      <c r="D171" s="17"/>
      <c r="E171" s="18"/>
      <c r="F171" s="20"/>
      <c r="G171" s="22"/>
      <c r="H171" s="22"/>
      <c r="I171" s="22"/>
      <c r="J171" s="22"/>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ht="15.75" customHeight="1">
      <c r="A172" s="1"/>
      <c r="B172" s="16"/>
      <c r="C172" s="16"/>
      <c r="D172" s="17"/>
      <c r="E172" s="18"/>
      <c r="F172" s="20"/>
      <c r="G172" s="22"/>
      <c r="H172" s="22"/>
      <c r="I172" s="22"/>
      <c r="J172" s="22"/>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ht="15.75" customHeight="1">
      <c r="A173" s="1"/>
      <c r="B173" s="16"/>
      <c r="C173" s="16"/>
      <c r="D173" s="17"/>
      <c r="E173" s="18"/>
      <c r="F173" s="20"/>
      <c r="G173" s="22"/>
      <c r="H173" s="22"/>
      <c r="I173" s="22"/>
      <c r="J173" s="22"/>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ht="15.75" customHeight="1">
      <c r="A174" s="1"/>
      <c r="B174" s="16"/>
      <c r="C174" s="16"/>
      <c r="D174" s="17"/>
      <c r="E174" s="18"/>
      <c r="F174" s="20"/>
      <c r="G174" s="22"/>
      <c r="H174" s="22"/>
      <c r="I174" s="22"/>
      <c r="J174" s="22"/>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ht="15.75" customHeight="1">
      <c r="A175" s="1"/>
      <c r="B175" s="16"/>
      <c r="C175" s="16"/>
      <c r="D175" s="17"/>
      <c r="E175" s="18"/>
      <c r="F175" s="20"/>
      <c r="G175" s="22"/>
      <c r="H175" s="22"/>
      <c r="I175" s="22"/>
      <c r="J175" s="22"/>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ht="15.75" customHeight="1">
      <c r="A176" s="1"/>
      <c r="B176" s="16"/>
      <c r="C176" s="16"/>
      <c r="D176" s="17"/>
      <c r="E176" s="18"/>
      <c r="F176" s="20"/>
      <c r="G176" s="22"/>
      <c r="H176" s="22"/>
      <c r="I176" s="22"/>
      <c r="J176" s="22"/>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ht="15.75" customHeight="1">
      <c r="A177" s="1"/>
      <c r="B177" s="16"/>
      <c r="C177" s="16"/>
      <c r="D177" s="17"/>
      <c r="E177" s="18"/>
      <c r="F177" s="20"/>
      <c r="G177" s="22"/>
      <c r="H177" s="22"/>
      <c r="I177" s="22"/>
      <c r="J177" s="22"/>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ht="15.75" customHeight="1">
      <c r="A178" s="1"/>
      <c r="B178" s="16"/>
      <c r="C178" s="16"/>
      <c r="D178" s="17"/>
      <c r="E178" s="18"/>
      <c r="F178" s="20"/>
      <c r="G178" s="22"/>
      <c r="H178" s="22"/>
      <c r="I178" s="22"/>
      <c r="J178" s="22"/>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ht="15.75" customHeight="1">
      <c r="A179" s="1"/>
      <c r="B179" s="16"/>
      <c r="C179" s="16"/>
      <c r="D179" s="17"/>
      <c r="E179" s="18"/>
      <c r="F179" s="20"/>
      <c r="G179" s="22"/>
      <c r="H179" s="22"/>
      <c r="I179" s="22"/>
      <c r="J179" s="22"/>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ht="15.75" customHeight="1">
      <c r="A180" s="1"/>
      <c r="B180" s="16"/>
      <c r="C180" s="16"/>
      <c r="D180" s="17"/>
      <c r="E180" s="18"/>
      <c r="F180" s="20"/>
      <c r="G180" s="22"/>
      <c r="H180" s="22"/>
      <c r="I180" s="22"/>
      <c r="J180" s="22"/>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ht="15.75" customHeight="1">
      <c r="A181" s="1"/>
      <c r="B181" s="16"/>
      <c r="C181" s="16"/>
      <c r="D181" s="17"/>
      <c r="E181" s="18"/>
      <c r="F181" s="20"/>
      <c r="G181" s="22"/>
      <c r="H181" s="22"/>
      <c r="I181" s="22"/>
      <c r="J181" s="22"/>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ht="15.75" customHeight="1">
      <c r="A182" s="1"/>
      <c r="B182" s="16"/>
      <c r="C182" s="16"/>
      <c r="D182" s="17"/>
      <c r="E182" s="18"/>
      <c r="F182" s="20"/>
      <c r="G182" s="22"/>
      <c r="H182" s="22"/>
      <c r="I182" s="22"/>
      <c r="J182" s="22"/>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ht="15.75" customHeight="1">
      <c r="A183" s="1"/>
      <c r="B183" s="16"/>
      <c r="C183" s="16"/>
      <c r="D183" s="17"/>
      <c r="E183" s="18"/>
      <c r="F183" s="20"/>
      <c r="G183" s="22"/>
      <c r="H183" s="22"/>
      <c r="I183" s="22"/>
      <c r="J183" s="22"/>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ht="15.75" customHeight="1">
      <c r="A184" s="1"/>
      <c r="B184" s="16"/>
      <c r="C184" s="16"/>
      <c r="D184" s="17"/>
      <c r="E184" s="18"/>
      <c r="F184" s="20"/>
      <c r="G184" s="22"/>
      <c r="H184" s="22"/>
      <c r="I184" s="22"/>
      <c r="J184" s="22"/>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ht="15.75" customHeight="1">
      <c r="A185" s="1"/>
      <c r="B185" s="16"/>
      <c r="C185" s="16"/>
      <c r="D185" s="17"/>
      <c r="E185" s="18"/>
      <c r="F185" s="20"/>
      <c r="G185" s="22"/>
      <c r="H185" s="22"/>
      <c r="I185" s="22"/>
      <c r="J185" s="22"/>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ht="15.75" customHeight="1">
      <c r="A186" s="1"/>
      <c r="B186" s="16"/>
      <c r="C186" s="16"/>
      <c r="D186" s="17"/>
      <c r="E186" s="18"/>
      <c r="F186" s="20"/>
      <c r="G186" s="22"/>
      <c r="H186" s="22"/>
      <c r="I186" s="22"/>
      <c r="J186" s="22"/>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ht="15.75" customHeight="1">
      <c r="A187" s="1"/>
      <c r="B187" s="16"/>
      <c r="C187" s="16"/>
      <c r="D187" s="17"/>
      <c r="E187" s="18"/>
      <c r="F187" s="20"/>
      <c r="G187" s="22"/>
      <c r="H187" s="22"/>
      <c r="I187" s="22"/>
      <c r="J187" s="22"/>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ht="15.75" customHeight="1">
      <c r="A188" s="1"/>
      <c r="B188" s="16"/>
      <c r="C188" s="16"/>
      <c r="D188" s="17"/>
      <c r="E188" s="18"/>
      <c r="F188" s="20"/>
      <c r="G188" s="22"/>
      <c r="H188" s="22"/>
      <c r="I188" s="22"/>
      <c r="J188" s="22"/>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ht="15.75" customHeight="1">
      <c r="A189" s="1"/>
      <c r="B189" s="16"/>
      <c r="C189" s="16"/>
      <c r="D189" s="17"/>
      <c r="E189" s="18"/>
      <c r="F189" s="20"/>
      <c r="G189" s="22"/>
      <c r="H189" s="22"/>
      <c r="I189" s="22"/>
      <c r="J189" s="22"/>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ht="15.75" customHeight="1">
      <c r="A190" s="1"/>
      <c r="B190" s="16"/>
      <c r="C190" s="16"/>
      <c r="D190" s="17"/>
      <c r="E190" s="18"/>
      <c r="F190" s="20"/>
      <c r="G190" s="22"/>
      <c r="H190" s="22"/>
      <c r="I190" s="22"/>
      <c r="J190" s="22"/>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ht="15.75" customHeight="1">
      <c r="A191" s="1"/>
      <c r="B191" s="16"/>
      <c r="C191" s="16"/>
      <c r="D191" s="17"/>
      <c r="E191" s="18"/>
      <c r="F191" s="20"/>
      <c r="G191" s="22"/>
      <c r="H191" s="22"/>
      <c r="I191" s="22"/>
      <c r="J191" s="22"/>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ht="15.75" customHeight="1">
      <c r="A192" s="1"/>
      <c r="B192" s="16"/>
      <c r="C192" s="16"/>
      <c r="D192" s="17"/>
      <c r="E192" s="18"/>
      <c r="F192" s="20"/>
      <c r="G192" s="22"/>
      <c r="H192" s="22"/>
      <c r="I192" s="22"/>
      <c r="J192" s="22"/>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ht="15.75" customHeight="1">
      <c r="A193" s="1"/>
      <c r="B193" s="16"/>
      <c r="C193" s="16"/>
      <c r="D193" s="17"/>
      <c r="E193" s="18"/>
      <c r="F193" s="20"/>
      <c r="G193" s="22"/>
      <c r="H193" s="22"/>
      <c r="I193" s="22"/>
      <c r="J193" s="22"/>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ht="15.75" customHeight="1">
      <c r="A194" s="1"/>
      <c r="B194" s="16"/>
      <c r="C194" s="16"/>
      <c r="D194" s="17"/>
      <c r="E194" s="18"/>
      <c r="F194" s="20"/>
      <c r="G194" s="22"/>
      <c r="H194" s="22"/>
      <c r="I194" s="22"/>
      <c r="J194" s="22"/>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ht="15.75" customHeight="1">
      <c r="A195" s="1"/>
      <c r="B195" s="16"/>
      <c r="C195" s="16"/>
      <c r="D195" s="17"/>
      <c r="E195" s="18"/>
      <c r="F195" s="20"/>
      <c r="G195" s="22"/>
      <c r="H195" s="22"/>
      <c r="I195" s="22"/>
      <c r="J195" s="22"/>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ht="15.75" customHeight="1">
      <c r="A196" s="1"/>
      <c r="B196" s="16"/>
      <c r="C196" s="16"/>
      <c r="D196" s="17"/>
      <c r="E196" s="18"/>
      <c r="F196" s="20"/>
      <c r="G196" s="22"/>
      <c r="H196" s="22"/>
      <c r="I196" s="22"/>
      <c r="J196" s="22"/>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ht="15.75" customHeight="1">
      <c r="A197" s="1"/>
      <c r="B197" s="16"/>
      <c r="C197" s="16"/>
      <c r="D197" s="17"/>
      <c r="E197" s="18"/>
      <c r="F197" s="20"/>
      <c r="G197" s="22"/>
      <c r="H197" s="22"/>
      <c r="I197" s="22"/>
      <c r="J197" s="22"/>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ht="15.75" customHeight="1">
      <c r="A198" s="1"/>
      <c r="B198" s="16"/>
      <c r="C198" s="16"/>
      <c r="D198" s="17"/>
      <c r="E198" s="18"/>
      <c r="F198" s="20"/>
      <c r="G198" s="22"/>
      <c r="H198" s="22"/>
      <c r="I198" s="22"/>
      <c r="J198" s="22"/>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ht="15.75" customHeight="1">
      <c r="A199" s="1"/>
      <c r="B199" s="16"/>
      <c r="C199" s="16"/>
      <c r="D199" s="17"/>
      <c r="E199" s="18"/>
      <c r="F199" s="20"/>
      <c r="G199" s="22"/>
      <c r="H199" s="22"/>
      <c r="I199" s="22"/>
      <c r="J199" s="22"/>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ht="15.75" customHeight="1">
      <c r="A200" s="1"/>
      <c r="B200" s="16"/>
      <c r="C200" s="16"/>
      <c r="D200" s="17"/>
      <c r="E200" s="18"/>
      <c r="F200" s="20"/>
      <c r="G200" s="22"/>
      <c r="H200" s="22"/>
      <c r="I200" s="22"/>
      <c r="J200" s="22"/>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ht="15.75" customHeight="1">
      <c r="A201" s="1"/>
      <c r="B201" s="16"/>
      <c r="C201" s="16"/>
      <c r="D201" s="17"/>
      <c r="E201" s="18"/>
      <c r="F201" s="20"/>
      <c r="G201" s="22"/>
      <c r="H201" s="22"/>
      <c r="I201" s="22"/>
      <c r="J201" s="22"/>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ht="15.75" customHeight="1">
      <c r="A202" s="1"/>
      <c r="B202" s="16"/>
      <c r="C202" s="16"/>
      <c r="D202" s="17"/>
      <c r="E202" s="18"/>
      <c r="F202" s="20"/>
      <c r="G202" s="22"/>
      <c r="H202" s="22"/>
      <c r="I202" s="22"/>
      <c r="J202" s="22"/>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ht="15.75" customHeight="1">
      <c r="A203" s="1"/>
      <c r="B203" s="16"/>
      <c r="C203" s="16"/>
      <c r="D203" s="17"/>
      <c r="E203" s="18"/>
      <c r="F203" s="20"/>
      <c r="G203" s="22"/>
      <c r="H203" s="22"/>
      <c r="I203" s="22"/>
      <c r="J203" s="22"/>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ht="15.75" customHeight="1">
      <c r="A204" s="1"/>
      <c r="B204" s="16"/>
      <c r="C204" s="16"/>
      <c r="D204" s="17"/>
      <c r="E204" s="18"/>
      <c r="F204" s="20"/>
      <c r="G204" s="22"/>
      <c r="H204" s="22"/>
      <c r="I204" s="22"/>
      <c r="J204" s="22"/>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ht="15.75" customHeight="1">
      <c r="A205" s="1"/>
      <c r="B205" s="16"/>
      <c r="C205" s="16"/>
      <c r="D205" s="17"/>
      <c r="E205" s="18"/>
      <c r="F205" s="20"/>
      <c r="G205" s="22"/>
      <c r="H205" s="22"/>
      <c r="I205" s="22"/>
      <c r="J205" s="22"/>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ht="15.75" customHeight="1">
      <c r="A206" s="1"/>
      <c r="B206" s="16"/>
      <c r="C206" s="16"/>
      <c r="D206" s="17"/>
      <c r="E206" s="18"/>
      <c r="F206" s="20"/>
      <c r="G206" s="22"/>
      <c r="H206" s="22"/>
      <c r="I206" s="22"/>
      <c r="J206" s="22"/>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ht="15.75" customHeight="1">
      <c r="A207" s="1"/>
      <c r="B207" s="16"/>
      <c r="C207" s="16"/>
      <c r="D207" s="17"/>
      <c r="E207" s="18"/>
      <c r="F207" s="20"/>
      <c r="G207" s="22"/>
      <c r="H207" s="22"/>
      <c r="I207" s="22"/>
      <c r="J207" s="22"/>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ht="15.75" customHeight="1">
      <c r="A208" s="1"/>
      <c r="B208" s="16"/>
      <c r="C208" s="16"/>
      <c r="D208" s="17"/>
      <c r="E208" s="18"/>
      <c r="F208" s="20"/>
      <c r="G208" s="22"/>
      <c r="H208" s="22"/>
      <c r="I208" s="22"/>
      <c r="J208" s="22"/>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ht="15.75" customHeight="1">
      <c r="A209" s="1"/>
      <c r="B209" s="16"/>
      <c r="C209" s="16"/>
      <c r="D209" s="17"/>
      <c r="E209" s="18"/>
      <c r="F209" s="20"/>
      <c r="G209" s="22"/>
      <c r="H209" s="22"/>
      <c r="I209" s="22"/>
      <c r="J209" s="22"/>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ht="15.75" customHeight="1">
      <c r="A210" s="1"/>
      <c r="B210" s="16"/>
      <c r="C210" s="16"/>
      <c r="D210" s="17"/>
      <c r="E210" s="18"/>
      <c r="F210" s="20"/>
      <c r="G210" s="22"/>
      <c r="H210" s="22"/>
      <c r="I210" s="22"/>
      <c r="J210" s="22"/>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15.75" customHeight="1">
      <c r="A211" s="1"/>
      <c r="B211" s="16"/>
      <c r="C211" s="16"/>
      <c r="D211" s="17"/>
      <c r="E211" s="18"/>
      <c r="F211" s="20"/>
      <c r="G211" s="22"/>
      <c r="H211" s="22"/>
      <c r="I211" s="22"/>
      <c r="J211" s="22"/>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15.75" customHeight="1">
      <c r="A212" s="1"/>
      <c r="B212" s="16"/>
      <c r="C212" s="16"/>
      <c r="D212" s="17"/>
      <c r="E212" s="18"/>
      <c r="F212" s="20"/>
      <c r="G212" s="22"/>
      <c r="H212" s="22"/>
      <c r="I212" s="22"/>
      <c r="J212" s="22"/>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15.75" customHeight="1">
      <c r="A213" s="1"/>
      <c r="B213" s="16"/>
      <c r="C213" s="16"/>
      <c r="D213" s="17"/>
      <c r="E213" s="18"/>
      <c r="F213" s="20"/>
      <c r="G213" s="22"/>
      <c r="H213" s="22"/>
      <c r="I213" s="22"/>
      <c r="J213" s="22"/>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15.75" customHeight="1">
      <c r="A214" s="1"/>
      <c r="B214" s="16"/>
      <c r="C214" s="16"/>
      <c r="D214" s="17"/>
      <c r="E214" s="18"/>
      <c r="F214" s="20"/>
      <c r="G214" s="22"/>
      <c r="H214" s="22"/>
      <c r="I214" s="22"/>
      <c r="J214" s="22"/>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15.75" customHeight="1">
      <c r="A215" s="1"/>
      <c r="B215" s="16"/>
      <c r="C215" s="16"/>
      <c r="D215" s="17"/>
      <c r="E215" s="18"/>
      <c r="F215" s="20"/>
      <c r="G215" s="22"/>
      <c r="H215" s="22"/>
      <c r="I215" s="22"/>
      <c r="J215" s="22"/>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15.75" customHeight="1">
      <c r="A216" s="1"/>
      <c r="B216" s="16"/>
      <c r="C216" s="16"/>
      <c r="D216" s="17"/>
      <c r="E216" s="18"/>
      <c r="F216" s="20"/>
      <c r="G216" s="22"/>
      <c r="H216" s="22"/>
      <c r="I216" s="22"/>
      <c r="J216" s="22"/>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15.75" customHeight="1">
      <c r="A217" s="1"/>
      <c r="B217" s="16"/>
      <c r="C217" s="16"/>
      <c r="D217" s="17"/>
      <c r="E217" s="18"/>
      <c r="F217" s="20"/>
      <c r="G217" s="22"/>
      <c r="H217" s="22"/>
      <c r="I217" s="22"/>
      <c r="J217" s="22"/>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15.75" customHeight="1">
      <c r="A218" s="1"/>
      <c r="B218" s="16"/>
      <c r="C218" s="16"/>
      <c r="D218" s="17"/>
      <c r="E218" s="18"/>
      <c r="F218" s="20"/>
      <c r="G218" s="22"/>
      <c r="H218" s="22"/>
      <c r="I218" s="22"/>
      <c r="J218" s="22"/>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15.75" customHeight="1">
      <c r="A219" s="1"/>
      <c r="B219" s="16"/>
      <c r="C219" s="16"/>
      <c r="D219" s="17"/>
      <c r="E219" s="18"/>
      <c r="F219" s="20"/>
      <c r="G219" s="22"/>
      <c r="H219" s="22"/>
      <c r="I219" s="22"/>
      <c r="J219" s="22"/>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15.75" customHeight="1">
      <c r="A220" s="1"/>
      <c r="B220" s="16"/>
      <c r="C220" s="16"/>
      <c r="D220" s="17"/>
      <c r="E220" s="18"/>
      <c r="F220" s="20"/>
      <c r="G220" s="22"/>
      <c r="H220" s="22"/>
      <c r="I220" s="22"/>
      <c r="J220" s="22"/>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15.75" customHeight="1">
      <c r="A221" s="1"/>
      <c r="B221" s="16"/>
      <c r="C221" s="16"/>
      <c r="D221" s="17"/>
      <c r="E221" s="18"/>
      <c r="F221" s="20"/>
      <c r="G221" s="22"/>
      <c r="H221" s="22"/>
      <c r="I221" s="22"/>
      <c r="J221" s="22"/>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15.75" customHeight="1">
      <c r="A222" s="1"/>
      <c r="B222" s="16"/>
      <c r="C222" s="16"/>
      <c r="D222" s="17"/>
      <c r="E222" s="18"/>
      <c r="F222" s="20"/>
      <c r="G222" s="22"/>
      <c r="H222" s="22"/>
      <c r="I222" s="22"/>
      <c r="J222" s="22"/>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15.75" customHeight="1">
      <c r="A223" s="1"/>
      <c r="B223" s="16"/>
      <c r="C223" s="16"/>
      <c r="D223" s="17"/>
      <c r="E223" s="18"/>
      <c r="F223" s="20"/>
      <c r="G223" s="22"/>
      <c r="H223" s="22"/>
      <c r="I223" s="22"/>
      <c r="J223" s="22"/>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15.75" customHeight="1">
      <c r="A224" s="1"/>
      <c r="B224" s="16"/>
      <c r="C224" s="16"/>
      <c r="D224" s="17"/>
      <c r="E224" s="18"/>
      <c r="F224" s="20"/>
      <c r="G224" s="22"/>
      <c r="H224" s="22"/>
      <c r="I224" s="22"/>
      <c r="J224" s="22"/>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15.75" customHeight="1">
      <c r="A225" s="1"/>
      <c r="B225" s="16"/>
      <c r="C225" s="16"/>
      <c r="D225" s="17"/>
      <c r="E225" s="18"/>
      <c r="F225" s="20"/>
      <c r="G225" s="22"/>
      <c r="H225" s="22"/>
      <c r="I225" s="22"/>
      <c r="J225" s="22"/>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15.75" customHeight="1">
      <c r="A226" s="1"/>
      <c r="B226" s="16"/>
      <c r="C226" s="16"/>
      <c r="D226" s="17"/>
      <c r="E226" s="18"/>
      <c r="F226" s="20"/>
      <c r="G226" s="22"/>
      <c r="H226" s="22"/>
      <c r="I226" s="22"/>
      <c r="J226" s="22"/>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15.75" customHeight="1">
      <c r="A227" s="1"/>
      <c r="B227" s="16"/>
      <c r="C227" s="16"/>
      <c r="D227" s="17"/>
      <c r="E227" s="18"/>
      <c r="F227" s="20"/>
      <c r="G227" s="22"/>
      <c r="H227" s="22"/>
      <c r="I227" s="22"/>
      <c r="J227" s="22"/>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15.75" customHeight="1">
      <c r="A228" s="1"/>
      <c r="B228" s="16"/>
      <c r="C228" s="16"/>
      <c r="D228" s="17"/>
      <c r="E228" s="18"/>
      <c r="F228" s="20"/>
      <c r="G228" s="22"/>
      <c r="H228" s="22"/>
      <c r="I228" s="22"/>
      <c r="J228" s="22"/>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15.75" customHeight="1">
      <c r="A229" s="1"/>
      <c r="B229" s="16"/>
      <c r="C229" s="16"/>
      <c r="D229" s="17"/>
      <c r="E229" s="18"/>
      <c r="F229" s="20"/>
      <c r="G229" s="22"/>
      <c r="H229" s="22"/>
      <c r="I229" s="22"/>
      <c r="J229" s="22"/>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15.75" customHeight="1">
      <c r="A230" s="1"/>
      <c r="B230" s="16"/>
      <c r="C230" s="16"/>
      <c r="D230" s="17"/>
      <c r="E230" s="18"/>
      <c r="F230" s="20"/>
      <c r="G230" s="22"/>
      <c r="H230" s="22"/>
      <c r="I230" s="22"/>
      <c r="J230" s="22"/>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15.75" customHeight="1">
      <c r="A231" s="1"/>
      <c r="B231" s="16"/>
      <c r="C231" s="16"/>
      <c r="D231" s="17"/>
      <c r="E231" s="18"/>
      <c r="F231" s="20"/>
      <c r="G231" s="22"/>
      <c r="H231" s="22"/>
      <c r="I231" s="22"/>
      <c r="J231" s="22"/>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15.75" customHeight="1">
      <c r="A232" s="1"/>
      <c r="B232" s="16"/>
      <c r="C232" s="16"/>
      <c r="D232" s="17"/>
      <c r="E232" s="18"/>
      <c r="F232" s="20"/>
      <c r="G232" s="22"/>
      <c r="H232" s="22"/>
      <c r="I232" s="22"/>
      <c r="J232" s="22"/>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15.75" customHeight="1">
      <c r="A233" s="1"/>
      <c r="B233" s="16"/>
      <c r="C233" s="16"/>
      <c r="D233" s="17"/>
      <c r="E233" s="18"/>
      <c r="F233" s="20"/>
      <c r="G233" s="22"/>
      <c r="H233" s="22"/>
      <c r="I233" s="22"/>
      <c r="J233" s="22"/>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15.75" customHeight="1">
      <c r="A234" s="1"/>
      <c r="B234" s="16"/>
      <c r="C234" s="16"/>
      <c r="D234" s="17"/>
      <c r="E234" s="18"/>
      <c r="F234" s="20"/>
      <c r="G234" s="22"/>
      <c r="H234" s="22"/>
      <c r="I234" s="22"/>
      <c r="J234" s="22"/>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15.75" customHeight="1">
      <c r="A235" s="1"/>
      <c r="B235" s="16"/>
      <c r="C235" s="16"/>
      <c r="D235" s="17"/>
      <c r="E235" s="18"/>
      <c r="F235" s="20"/>
      <c r="G235" s="22"/>
      <c r="H235" s="22"/>
      <c r="I235" s="22"/>
      <c r="J235" s="22"/>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15.75" customHeight="1">
      <c r="A236" s="1"/>
      <c r="B236" s="16"/>
      <c r="C236" s="16"/>
      <c r="D236" s="17"/>
      <c r="E236" s="18"/>
      <c r="F236" s="20"/>
      <c r="G236" s="22"/>
      <c r="H236" s="22"/>
      <c r="I236" s="22"/>
      <c r="J236" s="22"/>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15.75" customHeight="1">
      <c r="A237" s="1"/>
      <c r="B237" s="16"/>
      <c r="C237" s="16"/>
      <c r="D237" s="17"/>
      <c r="E237" s="18"/>
      <c r="F237" s="20"/>
      <c r="G237" s="22"/>
      <c r="H237" s="22"/>
      <c r="I237" s="22"/>
      <c r="J237" s="22"/>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15.75" customHeight="1">
      <c r="A238" s="1"/>
      <c r="B238" s="16"/>
      <c r="C238" s="16"/>
      <c r="D238" s="17"/>
      <c r="E238" s="18"/>
      <c r="F238" s="20"/>
      <c r="G238" s="22"/>
      <c r="H238" s="22"/>
      <c r="I238" s="22"/>
      <c r="J238" s="22"/>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15.75" customHeight="1">
      <c r="A239" s="1"/>
      <c r="B239" s="16"/>
      <c r="C239" s="16"/>
      <c r="D239" s="17"/>
      <c r="E239" s="18"/>
      <c r="F239" s="20"/>
      <c r="G239" s="22"/>
      <c r="H239" s="22"/>
      <c r="I239" s="22"/>
      <c r="J239" s="22"/>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15.75" customHeight="1">
      <c r="A240" s="1"/>
      <c r="B240" s="16"/>
      <c r="C240" s="16"/>
      <c r="D240" s="17"/>
      <c r="E240" s="18"/>
      <c r="F240" s="20"/>
      <c r="G240" s="22"/>
      <c r="H240" s="22"/>
      <c r="I240" s="22"/>
      <c r="J240" s="22"/>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15.75" customHeight="1">
      <c r="A241" s="1"/>
      <c r="B241" s="16"/>
      <c r="C241" s="16"/>
      <c r="D241" s="17"/>
      <c r="E241" s="18"/>
      <c r="F241" s="20"/>
      <c r="G241" s="22"/>
      <c r="H241" s="22"/>
      <c r="I241" s="22"/>
      <c r="J241" s="22"/>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15.75" customHeight="1">
      <c r="A242" s="1"/>
      <c r="B242" s="16"/>
      <c r="C242" s="16"/>
      <c r="D242" s="17"/>
      <c r="E242" s="18"/>
      <c r="F242" s="20"/>
      <c r="G242" s="22"/>
      <c r="H242" s="22"/>
      <c r="I242" s="22"/>
      <c r="J242" s="22"/>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15.75" customHeight="1">
      <c r="A243" s="1"/>
      <c r="B243" s="16"/>
      <c r="C243" s="16"/>
      <c r="D243" s="17"/>
      <c r="E243" s="18"/>
      <c r="F243" s="20"/>
      <c r="G243" s="22"/>
      <c r="H243" s="22"/>
      <c r="I243" s="22"/>
      <c r="J243" s="22"/>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15.75" customHeight="1">
      <c r="A244" s="1"/>
      <c r="B244" s="16"/>
      <c r="C244" s="16"/>
      <c r="D244" s="17"/>
      <c r="E244" s="18"/>
      <c r="F244" s="20"/>
      <c r="G244" s="22"/>
      <c r="H244" s="22"/>
      <c r="I244" s="22"/>
      <c r="J244" s="22"/>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15.75" customHeight="1">
      <c r="A245" s="1"/>
      <c r="B245" s="16"/>
      <c r="C245" s="16"/>
      <c r="D245" s="17"/>
      <c r="E245" s="18"/>
      <c r="F245" s="20"/>
      <c r="G245" s="22"/>
      <c r="H245" s="22"/>
      <c r="I245" s="22"/>
      <c r="J245" s="22"/>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15.75" customHeight="1">
      <c r="A246" s="1"/>
      <c r="B246" s="16"/>
      <c r="C246" s="16"/>
      <c r="D246" s="17"/>
      <c r="E246" s="18"/>
      <c r="F246" s="20"/>
      <c r="G246" s="22"/>
      <c r="H246" s="22"/>
      <c r="I246" s="22"/>
      <c r="J246" s="22"/>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15.75" customHeight="1">
      <c r="A247" s="1"/>
      <c r="B247" s="16"/>
      <c r="C247" s="16"/>
      <c r="D247" s="17"/>
      <c r="E247" s="18"/>
      <c r="F247" s="20"/>
      <c r="G247" s="22"/>
      <c r="H247" s="22"/>
      <c r="I247" s="22"/>
      <c r="J247" s="22"/>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15.75" customHeight="1">
      <c r="A248" s="1"/>
      <c r="B248" s="16"/>
      <c r="C248" s="16"/>
      <c r="D248" s="17"/>
      <c r="E248" s="18"/>
      <c r="F248" s="20"/>
      <c r="G248" s="22"/>
      <c r="H248" s="22"/>
      <c r="I248" s="22"/>
      <c r="J248" s="22"/>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15.75" customHeight="1">
      <c r="A249" s="1"/>
      <c r="B249" s="16"/>
      <c r="C249" s="16"/>
      <c r="D249" s="17"/>
      <c r="E249" s="18"/>
      <c r="F249" s="20"/>
      <c r="G249" s="22"/>
      <c r="H249" s="22"/>
      <c r="I249" s="22"/>
      <c r="J249" s="22"/>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15.75" customHeight="1">
      <c r="A250" s="1"/>
      <c r="B250" s="16"/>
      <c r="C250" s="16"/>
      <c r="D250" s="17"/>
      <c r="E250" s="18"/>
      <c r="F250" s="20"/>
      <c r="G250" s="22"/>
      <c r="H250" s="22"/>
      <c r="I250" s="22"/>
      <c r="J250" s="22"/>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15.75" customHeight="1">
      <c r="A251" s="1"/>
      <c r="B251" s="16"/>
      <c r="C251" s="16"/>
      <c r="D251" s="17"/>
      <c r="E251" s="18"/>
      <c r="F251" s="20"/>
      <c r="G251" s="22"/>
      <c r="H251" s="22"/>
      <c r="I251" s="22"/>
      <c r="J251" s="22"/>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15.75" customHeight="1">
      <c r="A252" s="1"/>
      <c r="B252" s="16"/>
      <c r="C252" s="16"/>
      <c r="D252" s="17"/>
      <c r="E252" s="18"/>
      <c r="F252" s="20"/>
      <c r="G252" s="22"/>
      <c r="H252" s="22"/>
      <c r="I252" s="22"/>
      <c r="J252" s="22"/>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15.75" customHeight="1">
      <c r="A253" s="1"/>
      <c r="B253" s="16"/>
      <c r="C253" s="16"/>
      <c r="D253" s="17"/>
      <c r="E253" s="18"/>
      <c r="F253" s="20"/>
      <c r="G253" s="22"/>
      <c r="H253" s="22"/>
      <c r="I253" s="22"/>
      <c r="J253" s="22"/>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15.75" customHeight="1">
      <c r="A254" s="1"/>
      <c r="B254" s="16"/>
      <c r="C254" s="16"/>
      <c r="D254" s="17"/>
      <c r="E254" s="18"/>
      <c r="F254" s="20"/>
      <c r="G254" s="22"/>
      <c r="H254" s="22"/>
      <c r="I254" s="22"/>
      <c r="J254" s="22"/>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15.75" customHeight="1">
      <c r="A255" s="1"/>
      <c r="B255" s="16"/>
      <c r="C255" s="16"/>
      <c r="D255" s="17"/>
      <c r="E255" s="18"/>
      <c r="F255" s="20"/>
      <c r="G255" s="22"/>
      <c r="H255" s="22"/>
      <c r="I255" s="22"/>
      <c r="J255" s="22"/>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15.75" customHeight="1">
      <c r="A256" s="1"/>
      <c r="B256" s="16"/>
      <c r="C256" s="16"/>
      <c r="D256" s="17"/>
      <c r="E256" s="18"/>
      <c r="F256" s="20"/>
      <c r="G256" s="22"/>
      <c r="H256" s="22"/>
      <c r="I256" s="22"/>
      <c r="J256" s="22"/>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15.75" customHeight="1">
      <c r="A257" s="1"/>
      <c r="B257" s="16"/>
      <c r="C257" s="16"/>
      <c r="D257" s="17"/>
      <c r="E257" s="18"/>
      <c r="F257" s="20"/>
      <c r="G257" s="22"/>
      <c r="H257" s="22"/>
      <c r="I257" s="22"/>
      <c r="J257" s="22"/>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15.75" customHeight="1">
      <c r="A258" s="1"/>
      <c r="B258" s="16"/>
      <c r="C258" s="16"/>
      <c r="D258" s="17"/>
      <c r="E258" s="18"/>
      <c r="F258" s="20"/>
      <c r="G258" s="22"/>
      <c r="H258" s="22"/>
      <c r="I258" s="22"/>
      <c r="J258" s="22"/>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15.75" customHeight="1">
      <c r="A259" s="1"/>
      <c r="B259" s="16"/>
      <c r="C259" s="16"/>
      <c r="D259" s="17"/>
      <c r="E259" s="18"/>
      <c r="F259" s="20"/>
      <c r="G259" s="22"/>
      <c r="H259" s="22"/>
      <c r="I259" s="22"/>
      <c r="J259" s="22"/>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15.75" customHeight="1">
      <c r="A260" s="1"/>
      <c r="B260" s="16"/>
      <c r="C260" s="16"/>
      <c r="D260" s="17"/>
      <c r="E260" s="18"/>
      <c r="F260" s="20"/>
      <c r="G260" s="22"/>
      <c r="H260" s="22"/>
      <c r="I260" s="22"/>
      <c r="J260" s="22"/>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15.75" customHeight="1">
      <c r="A261" s="1"/>
      <c r="B261" s="16"/>
      <c r="C261" s="16"/>
      <c r="D261" s="17"/>
      <c r="E261" s="18"/>
      <c r="F261" s="20"/>
      <c r="G261" s="22"/>
      <c r="H261" s="22"/>
      <c r="I261" s="22"/>
      <c r="J261" s="22"/>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15.75" customHeight="1">
      <c r="A262" s="1"/>
      <c r="B262" s="16"/>
      <c r="C262" s="16"/>
      <c r="D262" s="17"/>
      <c r="E262" s="18"/>
      <c r="F262" s="20"/>
      <c r="G262" s="22"/>
      <c r="H262" s="22"/>
      <c r="I262" s="22"/>
      <c r="J262" s="22"/>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15.75" customHeight="1">
      <c r="A263" s="1"/>
      <c r="B263" s="16"/>
      <c r="C263" s="16"/>
      <c r="D263" s="17"/>
      <c r="E263" s="18"/>
      <c r="F263" s="20"/>
      <c r="G263" s="22"/>
      <c r="H263" s="22"/>
      <c r="I263" s="22"/>
      <c r="J263" s="22"/>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15.75" customHeight="1">
      <c r="A264" s="1"/>
      <c r="B264" s="16"/>
      <c r="C264" s="16"/>
      <c r="D264" s="17"/>
      <c r="E264" s="18"/>
      <c r="F264" s="20"/>
      <c r="G264" s="22"/>
      <c r="H264" s="22"/>
      <c r="I264" s="22"/>
      <c r="J264" s="22"/>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15.75" customHeight="1">
      <c r="A265" s="1"/>
      <c r="B265" s="16"/>
      <c r="C265" s="16"/>
      <c r="D265" s="17"/>
      <c r="E265" s="18"/>
      <c r="F265" s="20"/>
      <c r="G265" s="22"/>
      <c r="H265" s="22"/>
      <c r="I265" s="22"/>
      <c r="J265" s="22"/>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15.75" customHeight="1">
      <c r="A266" s="1"/>
      <c r="B266" s="16"/>
      <c r="C266" s="16"/>
      <c r="D266" s="17"/>
      <c r="E266" s="18"/>
      <c r="F266" s="20"/>
      <c r="G266" s="22"/>
      <c r="H266" s="22"/>
      <c r="I266" s="22"/>
      <c r="J266" s="22"/>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15.75" customHeight="1">
      <c r="A267" s="1"/>
      <c r="B267" s="16"/>
      <c r="C267" s="16"/>
      <c r="D267" s="17"/>
      <c r="E267" s="18"/>
      <c r="F267" s="20"/>
      <c r="G267" s="22"/>
      <c r="H267" s="22"/>
      <c r="I267" s="22"/>
      <c r="J267" s="22"/>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15.75" customHeight="1">
      <c r="A268" s="1"/>
      <c r="B268" s="16"/>
      <c r="C268" s="16"/>
      <c r="D268" s="17"/>
      <c r="E268" s="18"/>
      <c r="F268" s="20"/>
      <c r="G268" s="22"/>
      <c r="H268" s="22"/>
      <c r="I268" s="22"/>
      <c r="J268" s="22"/>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15.75" customHeight="1">
      <c r="A269" s="1"/>
      <c r="B269" s="16"/>
      <c r="C269" s="16"/>
      <c r="D269" s="17"/>
      <c r="E269" s="18"/>
      <c r="F269" s="20"/>
      <c r="G269" s="22"/>
      <c r="H269" s="22"/>
      <c r="I269" s="22"/>
      <c r="J269" s="22"/>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15.75" customHeight="1">
      <c r="A270" s="1"/>
      <c r="B270" s="16"/>
      <c r="C270" s="16"/>
      <c r="D270" s="17"/>
      <c r="E270" s="18"/>
      <c r="F270" s="20"/>
      <c r="G270" s="22"/>
      <c r="H270" s="22"/>
      <c r="I270" s="22"/>
      <c r="J270" s="22"/>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15.75" customHeight="1">
      <c r="A271" s="1"/>
      <c r="B271" s="16"/>
      <c r="C271" s="16"/>
      <c r="D271" s="17"/>
      <c r="E271" s="18"/>
      <c r="F271" s="20"/>
      <c r="G271" s="22"/>
      <c r="H271" s="22"/>
      <c r="I271" s="22"/>
      <c r="J271" s="22"/>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15.75" customHeight="1">
      <c r="A272" s="1"/>
      <c r="B272" s="16"/>
      <c r="C272" s="16"/>
      <c r="D272" s="17"/>
      <c r="E272" s="18"/>
      <c r="F272" s="20"/>
      <c r="G272" s="22"/>
      <c r="H272" s="22"/>
      <c r="I272" s="22"/>
      <c r="J272" s="22"/>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15.75" customHeight="1">
      <c r="A273" s="1"/>
      <c r="B273" s="16"/>
      <c r="C273" s="16"/>
      <c r="D273" s="17"/>
      <c r="E273" s="18"/>
      <c r="F273" s="20"/>
      <c r="G273" s="22"/>
      <c r="H273" s="22"/>
      <c r="I273" s="22"/>
      <c r="J273" s="22"/>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15.75" customHeight="1">
      <c r="A274" s="1"/>
      <c r="B274" s="16"/>
      <c r="C274" s="16"/>
      <c r="D274" s="17"/>
      <c r="E274" s="18"/>
      <c r="F274" s="20"/>
      <c r="G274" s="22"/>
      <c r="H274" s="22"/>
      <c r="I274" s="22"/>
      <c r="J274" s="22"/>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15.75" customHeight="1">
      <c r="A275" s="1"/>
      <c r="B275" s="16"/>
      <c r="C275" s="16"/>
      <c r="D275" s="17"/>
      <c r="E275" s="18"/>
      <c r="F275" s="20"/>
      <c r="G275" s="22"/>
      <c r="H275" s="22"/>
      <c r="I275" s="22"/>
      <c r="J275" s="22"/>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15.75" customHeight="1">
      <c r="A276" s="1"/>
      <c r="B276" s="16"/>
      <c r="C276" s="16"/>
      <c r="D276" s="17"/>
      <c r="E276" s="18"/>
      <c r="F276" s="20"/>
      <c r="G276" s="22"/>
      <c r="H276" s="22"/>
      <c r="I276" s="22"/>
      <c r="J276" s="22"/>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15.75" customHeight="1">
      <c r="A277" s="1"/>
      <c r="B277" s="16"/>
      <c r="C277" s="16"/>
      <c r="D277" s="17"/>
      <c r="E277" s="18"/>
      <c r="F277" s="20"/>
      <c r="G277" s="22"/>
      <c r="H277" s="22"/>
      <c r="I277" s="22"/>
      <c r="J277" s="22"/>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15.75" customHeight="1">
      <c r="A278" s="1"/>
      <c r="B278" s="16"/>
      <c r="C278" s="16"/>
      <c r="D278" s="17"/>
      <c r="E278" s="18"/>
      <c r="F278" s="20"/>
      <c r="G278" s="22"/>
      <c r="H278" s="22"/>
      <c r="I278" s="22"/>
      <c r="J278" s="22"/>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15.75" customHeight="1">
      <c r="A279" s="1"/>
      <c r="B279" s="16"/>
      <c r="C279" s="16"/>
      <c r="D279" s="17"/>
      <c r="E279" s="18"/>
      <c r="F279" s="20"/>
      <c r="G279" s="22"/>
      <c r="H279" s="22"/>
      <c r="I279" s="22"/>
      <c r="J279" s="22"/>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15.75" customHeight="1">
      <c r="A280" s="1"/>
      <c r="B280" s="16"/>
      <c r="C280" s="16"/>
      <c r="D280" s="17"/>
      <c r="E280" s="18"/>
      <c r="F280" s="20"/>
      <c r="G280" s="22"/>
      <c r="H280" s="22"/>
      <c r="I280" s="22"/>
      <c r="J280" s="22"/>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15.75" customHeight="1">
      <c r="A281" s="1"/>
      <c r="B281" s="16"/>
      <c r="C281" s="16"/>
      <c r="D281" s="17"/>
      <c r="E281" s="18"/>
      <c r="F281" s="20"/>
      <c r="G281" s="22"/>
      <c r="H281" s="22"/>
      <c r="I281" s="22"/>
      <c r="J281" s="22"/>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15.75" customHeight="1">
      <c r="A282" s="1"/>
      <c r="B282" s="16"/>
      <c r="C282" s="16"/>
      <c r="D282" s="17"/>
      <c r="E282" s="18"/>
      <c r="F282" s="20"/>
      <c r="G282" s="22"/>
      <c r="H282" s="22"/>
      <c r="I282" s="22"/>
      <c r="J282" s="22"/>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15.75" customHeight="1">
      <c r="A283" s="1"/>
      <c r="B283" s="16"/>
      <c r="C283" s="16"/>
      <c r="D283" s="17"/>
      <c r="E283" s="18"/>
      <c r="F283" s="20"/>
      <c r="G283" s="22"/>
      <c r="H283" s="22"/>
      <c r="I283" s="22"/>
      <c r="J283" s="22"/>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15.75" customHeight="1">
      <c r="A284" s="1"/>
      <c r="B284" s="16"/>
      <c r="C284" s="16"/>
      <c r="D284" s="17"/>
      <c r="E284" s="18"/>
      <c r="F284" s="20"/>
      <c r="G284" s="22"/>
      <c r="H284" s="22"/>
      <c r="I284" s="22"/>
      <c r="J284" s="22"/>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15.75" customHeight="1">
      <c r="A285" s="1"/>
      <c r="B285" s="16"/>
      <c r="C285" s="16"/>
      <c r="D285" s="17"/>
      <c r="E285" s="18"/>
      <c r="F285" s="20"/>
      <c r="G285" s="22"/>
      <c r="H285" s="22"/>
      <c r="I285" s="22"/>
      <c r="J285" s="22"/>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15.75" customHeight="1">
      <c r="A286" s="1"/>
      <c r="B286" s="16"/>
      <c r="C286" s="16"/>
      <c r="D286" s="17"/>
      <c r="E286" s="18"/>
      <c r="F286" s="20"/>
      <c r="G286" s="22"/>
      <c r="H286" s="22"/>
      <c r="I286" s="22"/>
      <c r="J286" s="22"/>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15.75" customHeight="1">
      <c r="A287" s="1"/>
      <c r="B287" s="16"/>
      <c r="C287" s="16"/>
      <c r="D287" s="17"/>
      <c r="E287" s="18"/>
      <c r="F287" s="20"/>
      <c r="G287" s="22"/>
      <c r="H287" s="22"/>
      <c r="I287" s="22"/>
      <c r="J287" s="22"/>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15.75" customHeight="1">
      <c r="A288" s="1"/>
      <c r="B288" s="16"/>
      <c r="C288" s="16"/>
      <c r="D288" s="17"/>
      <c r="E288" s="18"/>
      <c r="F288" s="20"/>
      <c r="G288" s="22"/>
      <c r="H288" s="22"/>
      <c r="I288" s="22"/>
      <c r="J288" s="22"/>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15.75" customHeight="1">
      <c r="A289" s="1"/>
      <c r="B289" s="16"/>
      <c r="C289" s="16"/>
      <c r="D289" s="17"/>
      <c r="E289" s="18"/>
      <c r="F289" s="20"/>
      <c r="G289" s="22"/>
      <c r="H289" s="22"/>
      <c r="I289" s="22"/>
      <c r="J289" s="22"/>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15.75" customHeight="1">
      <c r="A290" s="1"/>
      <c r="B290" s="16"/>
      <c r="C290" s="16"/>
      <c r="D290" s="17"/>
      <c r="E290" s="18"/>
      <c r="F290" s="20"/>
      <c r="G290" s="22"/>
      <c r="H290" s="22"/>
      <c r="I290" s="22"/>
      <c r="J290" s="22"/>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15.75" customHeight="1">
      <c r="A291" s="1"/>
      <c r="B291" s="16"/>
      <c r="C291" s="16"/>
      <c r="D291" s="17"/>
      <c r="E291" s="18"/>
      <c r="F291" s="20"/>
      <c r="G291" s="22"/>
      <c r="H291" s="22"/>
      <c r="I291" s="22"/>
      <c r="J291" s="22"/>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15.75" customHeight="1">
      <c r="A292" s="1"/>
      <c r="B292" s="16"/>
      <c r="C292" s="16"/>
      <c r="D292" s="17"/>
      <c r="E292" s="18"/>
      <c r="F292" s="20"/>
      <c r="G292" s="22"/>
      <c r="H292" s="22"/>
      <c r="I292" s="22"/>
      <c r="J292" s="22"/>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15.75" customHeight="1">
      <c r="A293" s="1"/>
      <c r="B293" s="16"/>
      <c r="C293" s="16"/>
      <c r="D293" s="17"/>
      <c r="E293" s="18"/>
      <c r="F293" s="20"/>
      <c r="G293" s="22"/>
      <c r="H293" s="22"/>
      <c r="I293" s="22"/>
      <c r="J293" s="22"/>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15.75" customHeight="1">
      <c r="A294" s="1"/>
      <c r="B294" s="16"/>
      <c r="C294" s="16"/>
      <c r="D294" s="17"/>
      <c r="E294" s="18"/>
      <c r="F294" s="20"/>
      <c r="G294" s="22"/>
      <c r="H294" s="22"/>
      <c r="I294" s="22"/>
      <c r="J294" s="22"/>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15.75" customHeight="1">
      <c r="A295" s="1"/>
      <c r="B295" s="16"/>
      <c r="C295" s="16"/>
      <c r="D295" s="17"/>
      <c r="E295" s="18"/>
      <c r="F295" s="20"/>
      <c r="G295" s="22"/>
      <c r="H295" s="22"/>
      <c r="I295" s="22"/>
      <c r="J295" s="22"/>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15.75" customHeight="1">
      <c r="A296" s="1"/>
      <c r="B296" s="16"/>
      <c r="C296" s="16"/>
      <c r="D296" s="17"/>
      <c r="E296" s="18"/>
      <c r="F296" s="20"/>
      <c r="G296" s="22"/>
      <c r="H296" s="22"/>
      <c r="I296" s="22"/>
      <c r="J296" s="22"/>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15.75" customHeight="1">
      <c r="A297" s="1"/>
      <c r="B297" s="16"/>
      <c r="C297" s="16"/>
      <c r="D297" s="17"/>
      <c r="E297" s="18"/>
      <c r="F297" s="20"/>
      <c r="G297" s="22"/>
      <c r="H297" s="22"/>
      <c r="I297" s="22"/>
      <c r="J297" s="22"/>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15.75" customHeight="1">
      <c r="A298" s="1"/>
      <c r="B298" s="16"/>
      <c r="C298" s="16"/>
      <c r="D298" s="17"/>
      <c r="E298" s="18"/>
      <c r="F298" s="20"/>
      <c r="G298" s="22"/>
      <c r="H298" s="22"/>
      <c r="I298" s="22"/>
      <c r="J298" s="22"/>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15.75" customHeight="1">
      <c r="A299" s="1"/>
      <c r="B299" s="16"/>
      <c r="C299" s="16"/>
      <c r="D299" s="17"/>
      <c r="E299" s="18"/>
      <c r="F299" s="20"/>
      <c r="G299" s="22"/>
      <c r="H299" s="22"/>
      <c r="I299" s="22"/>
      <c r="J299" s="22"/>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15.75" customHeight="1">
      <c r="A300" s="1"/>
      <c r="B300" s="16"/>
      <c r="C300" s="16"/>
      <c r="D300" s="17"/>
      <c r="E300" s="18"/>
      <c r="F300" s="20"/>
      <c r="G300" s="22"/>
      <c r="H300" s="22"/>
      <c r="I300" s="22"/>
      <c r="J300" s="22"/>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15.75" customHeight="1">
      <c r="A301" s="1"/>
      <c r="B301" s="16"/>
      <c r="C301" s="16"/>
      <c r="D301" s="17"/>
      <c r="E301" s="18"/>
      <c r="F301" s="20"/>
      <c r="G301" s="22"/>
      <c r="H301" s="22"/>
      <c r="I301" s="22"/>
      <c r="J301" s="22"/>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15.75" customHeight="1">
      <c r="A302" s="1"/>
      <c r="B302" s="16"/>
      <c r="C302" s="16"/>
      <c r="D302" s="17"/>
      <c r="E302" s="18"/>
      <c r="F302" s="20"/>
      <c r="G302" s="22"/>
      <c r="H302" s="22"/>
      <c r="I302" s="22"/>
      <c r="J302" s="22"/>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15.75" customHeight="1">
      <c r="A303" s="1"/>
      <c r="B303" s="16"/>
      <c r="C303" s="16"/>
      <c r="D303" s="17"/>
      <c r="E303" s="18"/>
      <c r="F303" s="20"/>
      <c r="G303" s="22"/>
      <c r="H303" s="22"/>
      <c r="I303" s="22"/>
      <c r="J303" s="22"/>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15.75" customHeight="1">
      <c r="A304" s="1"/>
      <c r="B304" s="16"/>
      <c r="C304" s="16"/>
      <c r="D304" s="17"/>
      <c r="E304" s="18"/>
      <c r="F304" s="20"/>
      <c r="G304" s="22"/>
      <c r="H304" s="22"/>
      <c r="I304" s="22"/>
      <c r="J304" s="22"/>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H$1"/>
  <conditionalFormatting sqref="J1:J1000">
    <cfRule type="cellIs" dxfId="3" priority="1" operator="greaterThanOrEqual">
      <formula>7</formula>
    </cfRule>
  </conditionalFormatting>
  <conditionalFormatting sqref="J1:J1000">
    <cfRule type="cellIs" dxfId="4" priority="2" operator="equal">
      <formula>6</formula>
    </cfRule>
  </conditionalFormatting>
  <conditionalFormatting sqref="G1:G1000">
    <cfRule type="cellIs" dxfId="3" priority="3" operator="greaterThanOrEqual">
      <formula>4</formula>
    </cfRule>
  </conditionalFormatting>
  <hyperlinks>
    <hyperlink r:id="rId1" ref="F27"/>
    <hyperlink r:id="rId2" ref="F33"/>
    <hyperlink r:id="rId3" ref="C39"/>
    <hyperlink r:id="rId4" ref="C40"/>
    <hyperlink r:id="rId5" ref="C41"/>
    <hyperlink r:id="rId6" ref="C42"/>
    <hyperlink r:id="rId7" ref="C43"/>
    <hyperlink r:id="rId8" ref="F48"/>
    <hyperlink r:id="rId9" ref="F52"/>
    <hyperlink r:id="rId10" ref="F62"/>
    <hyperlink r:id="rId11" ref="F63"/>
    <hyperlink r:id="rId12" ref="F64"/>
    <hyperlink r:id="rId13" ref="F65"/>
    <hyperlink r:id="rId14" ref="F66"/>
    <hyperlink r:id="rId15" ref="F67"/>
    <hyperlink r:id="rId16" ref="F68"/>
    <hyperlink r:id="rId17" ref="F69"/>
    <hyperlink r:id="rId18" ref="E77"/>
    <hyperlink r:id="rId19" ref="F82"/>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2"/>
  <cols>
    <col customWidth="1" min="1" max="1" width="6.14"/>
    <col customWidth="1" min="2" max="2" width="5.71"/>
    <col customWidth="1" min="3" max="3" width="5.0"/>
    <col customWidth="1" min="4" max="6" width="14.43"/>
  </cols>
  <sheetData>
    <row r="1" ht="15.75" customHeight="1">
      <c r="A1" s="6" t="s">
        <v>0</v>
      </c>
      <c r="B1" s="6"/>
    </row>
    <row r="2" ht="15.75" customHeight="1">
      <c r="A2" s="6"/>
      <c r="B2" s="6" t="s">
        <v>7</v>
      </c>
    </row>
    <row r="3" ht="15.75" customHeight="1">
      <c r="A3" s="6"/>
      <c r="B3" s="13"/>
      <c r="C3" s="15" t="s">
        <v>10</v>
      </c>
    </row>
    <row r="4" ht="15.75" customHeight="1">
      <c r="A4" s="6"/>
      <c r="B4" s="13"/>
      <c r="C4" s="15" t="s">
        <v>11</v>
      </c>
    </row>
    <row r="5" ht="15.75" customHeight="1">
      <c r="A5" s="6"/>
      <c r="B5" s="13"/>
      <c r="C5" s="15" t="s">
        <v>12</v>
      </c>
    </row>
    <row r="6" ht="15.75" customHeight="1">
      <c r="A6" s="6"/>
      <c r="B6" s="13" t="s">
        <v>13</v>
      </c>
    </row>
    <row r="7" ht="15.75" customHeight="1">
      <c r="A7" s="6"/>
      <c r="B7" s="6"/>
      <c r="C7" s="15" t="s">
        <v>14</v>
      </c>
    </row>
    <row r="8" ht="15.75" customHeight="1">
      <c r="A8" s="6"/>
      <c r="B8" s="6" t="s">
        <v>16</v>
      </c>
    </row>
    <row r="9" ht="15.75" customHeight="1">
      <c r="A9" s="6"/>
      <c r="B9" s="6"/>
      <c r="C9" s="15" t="s">
        <v>17</v>
      </c>
    </row>
    <row r="10" ht="15.75" customHeight="1">
      <c r="A10" s="6"/>
      <c r="B10" s="6"/>
      <c r="C10" s="15" t="s">
        <v>18</v>
      </c>
    </row>
    <row r="11" ht="15.75" customHeight="1">
      <c r="A11" s="6"/>
      <c r="B11" s="6" t="s">
        <v>19</v>
      </c>
    </row>
    <row r="12" ht="15.75" customHeight="1">
      <c r="A12" s="6"/>
      <c r="B12" s="6"/>
    </row>
    <row r="13" ht="15.75" customHeight="1">
      <c r="A13" s="6"/>
      <c r="B13" s="6" t="s">
        <v>22</v>
      </c>
    </row>
    <row r="14" ht="15.75" customHeight="1">
      <c r="A14" s="6"/>
      <c r="B14" s="6"/>
      <c r="C14" s="15" t="s">
        <v>25</v>
      </c>
    </row>
    <row r="15" ht="15.75" customHeight="1">
      <c r="A15" s="6"/>
      <c r="B15" s="6"/>
      <c r="C15" s="24" t="s">
        <v>29</v>
      </c>
    </row>
    <row r="16" ht="15.75" customHeight="1">
      <c r="A16" s="6"/>
      <c r="B16" s="6"/>
      <c r="D16" s="15" t="s">
        <v>33</v>
      </c>
    </row>
    <row r="17" ht="15.75" customHeight="1">
      <c r="A17" s="6"/>
      <c r="B17" s="6"/>
      <c r="C17" s="15" t="s">
        <v>35</v>
      </c>
    </row>
    <row r="18" ht="15.75" customHeight="1">
      <c r="A18" s="6"/>
      <c r="B18" s="6" t="s">
        <v>37</v>
      </c>
    </row>
    <row r="19" ht="15.75" customHeight="1">
      <c r="A19" s="6"/>
      <c r="B19" s="6"/>
      <c r="C19" s="15" t="s">
        <v>39</v>
      </c>
    </row>
    <row r="20" ht="15.75" customHeight="1">
      <c r="A20" s="6"/>
      <c r="B20" s="6"/>
      <c r="D20" s="15" t="s">
        <v>40</v>
      </c>
    </row>
    <row r="21" ht="15.75" customHeight="1">
      <c r="A21" s="6"/>
      <c r="B21" s="6"/>
      <c r="D21" s="15" t="s">
        <v>44</v>
      </c>
    </row>
    <row r="22" ht="15.75" customHeight="1">
      <c r="A22" s="6"/>
      <c r="B22" s="6"/>
      <c r="D22" s="15" t="s">
        <v>45</v>
      </c>
    </row>
    <row r="23" ht="15.75" customHeight="1">
      <c r="A23" s="6"/>
      <c r="B23" s="6"/>
      <c r="D23" s="15" t="s">
        <v>48</v>
      </c>
    </row>
    <row r="24" ht="15.75" customHeight="1">
      <c r="A24" s="6"/>
      <c r="B24" s="6"/>
      <c r="D24" s="15" t="s">
        <v>51</v>
      </c>
    </row>
    <row r="25" ht="15.75" customHeight="1">
      <c r="A25" s="6"/>
      <c r="B25" s="6"/>
      <c r="C25" s="15" t="s">
        <v>54</v>
      </c>
    </row>
    <row r="26" ht="15.75" customHeight="1">
      <c r="A26" s="6"/>
      <c r="B26" s="6"/>
      <c r="D26" s="15" t="s">
        <v>57</v>
      </c>
    </row>
    <row r="27" ht="15.75" customHeight="1">
      <c r="A27" s="6"/>
      <c r="B27" s="6" t="s">
        <v>60</v>
      </c>
    </row>
    <row r="28" ht="15.75" customHeight="1">
      <c r="A28" s="6"/>
      <c r="B28" s="6"/>
      <c r="C28" s="15" t="s">
        <v>63</v>
      </c>
    </row>
    <row r="29" ht="15.75" customHeight="1">
      <c r="A29" s="6"/>
      <c r="B29" s="6"/>
      <c r="C29" s="15" t="s">
        <v>65</v>
      </c>
    </row>
    <row r="30" ht="15.75" customHeight="1">
      <c r="A30" s="6"/>
      <c r="B30" s="6" t="s">
        <v>67</v>
      </c>
    </row>
    <row r="31" ht="15.75" customHeight="1">
      <c r="A31" s="6"/>
      <c r="B31" s="6"/>
      <c r="C31" s="15" t="s">
        <v>69</v>
      </c>
    </row>
    <row r="32" ht="15.75" customHeight="1">
      <c r="A32" s="6"/>
      <c r="B32" s="6"/>
      <c r="C32" s="15" t="s">
        <v>74</v>
      </c>
    </row>
    <row r="33" ht="15.75" customHeight="1">
      <c r="A33" s="6"/>
      <c r="B33" s="6"/>
      <c r="C33" s="15" t="s">
        <v>78</v>
      </c>
    </row>
    <row r="34" ht="15.75" customHeight="1">
      <c r="A34" s="6"/>
      <c r="B34" s="6"/>
      <c r="C34" s="15" t="s">
        <v>82</v>
      </c>
    </row>
    <row r="35" ht="15.75" customHeight="1">
      <c r="A35" s="6"/>
      <c r="B35" s="6"/>
    </row>
    <row r="36" ht="15.75" customHeight="1">
      <c r="A36" s="6" t="s">
        <v>85</v>
      </c>
      <c r="B36" s="6"/>
    </row>
    <row r="37" ht="15.75" customHeight="1">
      <c r="A37" s="35"/>
      <c r="B37" s="35" t="s">
        <v>88</v>
      </c>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5"/>
      <c r="B38" s="35"/>
      <c r="C38" s="36" t="s">
        <v>104</v>
      </c>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5"/>
      <c r="B39" s="35"/>
      <c r="C39" s="36"/>
      <c r="D39" s="36" t="s">
        <v>114</v>
      </c>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5"/>
      <c r="B40" s="35"/>
      <c r="C40" s="36"/>
      <c r="D40" s="36" t="s">
        <v>120</v>
      </c>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5"/>
      <c r="B41" s="35"/>
      <c r="C41" s="36" t="s">
        <v>128</v>
      </c>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5"/>
      <c r="B42" s="35"/>
      <c r="C42" s="36" t="s">
        <v>132</v>
      </c>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5"/>
      <c r="B43" s="35"/>
      <c r="C43" s="36"/>
      <c r="D43" s="47" t="s">
        <v>142</v>
      </c>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6"/>
      <c r="B44" s="6" t="s">
        <v>156</v>
      </c>
    </row>
    <row r="45" ht="15.75" customHeight="1">
      <c r="A45" s="6"/>
      <c r="B45" s="6"/>
      <c r="C45" s="15" t="s">
        <v>157</v>
      </c>
    </row>
    <row r="46" ht="15.75" customHeight="1">
      <c r="A46" s="6"/>
      <c r="B46" s="6"/>
      <c r="C46" s="15" t="s">
        <v>158</v>
      </c>
    </row>
    <row r="47" ht="15.75" customHeight="1">
      <c r="A47" s="6"/>
      <c r="B47" s="6" t="s">
        <v>159</v>
      </c>
    </row>
    <row r="48" ht="15.75" customHeight="1">
      <c r="A48" s="6"/>
      <c r="B48" s="6"/>
      <c r="C48" s="15" t="s">
        <v>160</v>
      </c>
    </row>
    <row r="49" ht="15.75" customHeight="1">
      <c r="A49" s="6"/>
      <c r="B49" s="6"/>
      <c r="C49" s="15" t="s">
        <v>162</v>
      </c>
    </row>
    <row r="50" ht="15.75" customHeight="1">
      <c r="A50" s="6"/>
      <c r="B50" s="6" t="s">
        <v>165</v>
      </c>
    </row>
    <row r="51" ht="15.75" customHeight="1">
      <c r="A51" s="6"/>
      <c r="B51" s="6"/>
      <c r="C51" s="15" t="s">
        <v>167</v>
      </c>
    </row>
    <row r="52" ht="15.75" customHeight="1">
      <c r="A52" s="6"/>
      <c r="B52" s="6"/>
      <c r="C52" s="15" t="s">
        <v>171</v>
      </c>
    </row>
    <row r="53" ht="15.75" customHeight="1">
      <c r="A53" s="6"/>
      <c r="B53" s="6"/>
      <c r="C53" s="15"/>
      <c r="D53" s="15" t="s">
        <v>173</v>
      </c>
    </row>
    <row r="54" ht="15.75" customHeight="1">
      <c r="A54" s="6"/>
      <c r="B54" s="6"/>
      <c r="C54" s="15"/>
      <c r="D54" s="15" t="s">
        <v>176</v>
      </c>
    </row>
    <row r="55" ht="15.75" customHeight="1">
      <c r="A55" s="6"/>
      <c r="B55" s="6"/>
      <c r="C55" s="15" t="s">
        <v>178</v>
      </c>
    </row>
    <row r="56" ht="15.75" customHeight="1">
      <c r="A56" s="6"/>
      <c r="B56" s="6"/>
      <c r="C56" s="15" t="s">
        <v>182</v>
      </c>
    </row>
    <row r="57" ht="15.75" customHeight="1">
      <c r="A57" s="6"/>
      <c r="B57" s="6"/>
      <c r="C57" s="15"/>
      <c r="D57" s="50" t="s">
        <v>184</v>
      </c>
    </row>
    <row r="58" ht="15.75" customHeight="1">
      <c r="A58" s="6"/>
      <c r="B58" s="6"/>
      <c r="C58" s="15" t="s">
        <v>187</v>
      </c>
    </row>
    <row r="59" ht="15.75" customHeight="1">
      <c r="A59" s="35"/>
      <c r="B59" s="35" t="s">
        <v>191</v>
      </c>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5"/>
      <c r="B60" s="35"/>
      <c r="C60" s="36" t="s">
        <v>203</v>
      </c>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5"/>
      <c r="B61" s="35"/>
      <c r="C61" s="36" t="s">
        <v>210</v>
      </c>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5"/>
      <c r="B62" s="35"/>
      <c r="C62" s="36" t="s">
        <v>216</v>
      </c>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5"/>
      <c r="B63" s="35"/>
      <c r="C63" s="36" t="s">
        <v>227</v>
      </c>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5"/>
      <c r="B64" s="35"/>
      <c r="C64" s="36"/>
      <c r="D64" s="47" t="s">
        <v>231</v>
      </c>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5"/>
      <c r="B65" s="35" t="s">
        <v>241</v>
      </c>
      <c r="C65" s="36"/>
      <c r="D65" s="36"/>
      <c r="E65" s="36"/>
      <c r="F65" s="36"/>
      <c r="G65" s="36"/>
      <c r="H65" s="36"/>
      <c r="I65" s="36" t="s">
        <v>243</v>
      </c>
      <c r="J65" s="36"/>
      <c r="K65" s="36"/>
      <c r="L65" s="36"/>
      <c r="M65" s="36"/>
      <c r="N65" s="36"/>
      <c r="O65" s="36"/>
      <c r="P65" s="36"/>
      <c r="Q65" s="36"/>
      <c r="R65" s="36"/>
      <c r="S65" s="36"/>
      <c r="T65" s="36"/>
      <c r="U65" s="36"/>
      <c r="V65" s="36"/>
      <c r="W65" s="36"/>
      <c r="X65" s="36"/>
      <c r="Y65" s="36"/>
      <c r="Z65" s="36"/>
    </row>
    <row r="66" ht="15.75" customHeight="1">
      <c r="A66" s="35"/>
      <c r="B66" s="35"/>
      <c r="C66" s="36" t="s">
        <v>246</v>
      </c>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5"/>
      <c r="B67" s="35"/>
      <c r="C67" s="36"/>
      <c r="D67" s="36" t="s">
        <v>247</v>
      </c>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5"/>
      <c r="B68" s="35"/>
      <c r="C68" s="36"/>
      <c r="D68" s="36" t="s">
        <v>176</v>
      </c>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5"/>
      <c r="B69" s="35"/>
      <c r="C69" s="36" t="s">
        <v>254</v>
      </c>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5"/>
      <c r="B70" s="35"/>
      <c r="C70" s="36"/>
      <c r="D70" s="36" t="s">
        <v>257</v>
      </c>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5"/>
      <c r="B71" s="35"/>
      <c r="C71" s="36"/>
      <c r="D71" s="36" t="s">
        <v>263</v>
      </c>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6"/>
      <c r="B72" s="6"/>
    </row>
    <row r="73" ht="15.75" customHeight="1">
      <c r="A73" s="6"/>
      <c r="B73" s="6" t="s">
        <v>268</v>
      </c>
      <c r="C73" s="6"/>
      <c r="D73" s="6"/>
      <c r="E73" s="6"/>
      <c r="F73" s="6"/>
    </row>
    <row r="74" ht="15.75" customHeight="1">
      <c r="A74" s="15"/>
      <c r="B74" s="6"/>
      <c r="C74" s="15" t="s">
        <v>270</v>
      </c>
    </row>
    <row r="75" ht="15.75" customHeight="1">
      <c r="A75" s="15"/>
      <c r="B75" s="6"/>
      <c r="D75" s="15" t="s">
        <v>271</v>
      </c>
    </row>
    <row r="76" ht="15.75" customHeight="1">
      <c r="A76" s="15"/>
      <c r="B76" s="6"/>
      <c r="D76" s="15" t="s">
        <v>272</v>
      </c>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t="s">
        <v>289</v>
      </c>
      <c r="B109" s="6"/>
    </row>
    <row r="110" ht="15.75" customHeight="1">
      <c r="A110" s="6"/>
      <c r="B110" s="6" t="s">
        <v>290</v>
      </c>
    </row>
    <row r="111" ht="15.75" customHeight="1">
      <c r="A111" s="6"/>
      <c r="B111" s="6" t="s">
        <v>291</v>
      </c>
    </row>
    <row r="112" ht="15.75" customHeight="1">
      <c r="A112" s="6"/>
      <c r="B112" s="6" t="s">
        <v>292</v>
      </c>
    </row>
    <row r="113" ht="15.75" customHeight="1">
      <c r="A113" s="6"/>
      <c r="B113" s="6"/>
      <c r="C113" s="15" t="s">
        <v>293</v>
      </c>
    </row>
    <row r="114" ht="15.75" customHeight="1">
      <c r="A114" s="6"/>
      <c r="B114" s="6"/>
      <c r="C114" s="15" t="s">
        <v>295</v>
      </c>
    </row>
    <row r="115" ht="15.75" customHeight="1">
      <c r="A115" s="6"/>
      <c r="B115" s="6"/>
      <c r="C115" s="15" t="s">
        <v>296</v>
      </c>
    </row>
    <row r="116" ht="15.75" customHeight="1">
      <c r="A116" s="6"/>
      <c r="B116" s="6"/>
      <c r="C116" s="15" t="s">
        <v>297</v>
      </c>
    </row>
    <row r="117" ht="15.75" customHeight="1">
      <c r="A117" s="6"/>
      <c r="B117" s="6" t="s">
        <v>298</v>
      </c>
    </row>
    <row r="118" ht="15.75" customHeight="1">
      <c r="A118" s="6"/>
      <c r="B118" s="6"/>
      <c r="C118" s="15" t="s">
        <v>300</v>
      </c>
    </row>
    <row r="119" ht="15.75" customHeight="1">
      <c r="A119" s="6"/>
      <c r="B119" s="6"/>
      <c r="C119" s="15" t="s">
        <v>302</v>
      </c>
    </row>
    <row r="120" ht="15.75" customHeight="1">
      <c r="A120" s="6"/>
      <c r="B120" s="6"/>
      <c r="C120" s="24" t="s">
        <v>304</v>
      </c>
    </row>
    <row r="121" ht="15.75" customHeight="1">
      <c r="A121" s="6"/>
      <c r="B121" s="6" t="s">
        <v>306</v>
      </c>
    </row>
    <row r="122" ht="15.75" customHeight="1">
      <c r="A122" s="6"/>
      <c r="B122" s="6" t="s">
        <v>309</v>
      </c>
    </row>
    <row r="123" ht="15.75" customHeight="1">
      <c r="A123" s="6"/>
      <c r="B123" s="6" t="s">
        <v>312</v>
      </c>
    </row>
    <row r="124" ht="15.75" customHeight="1">
      <c r="A124" s="6"/>
      <c r="B124" s="6" t="s">
        <v>314</v>
      </c>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4.43" defaultRowHeight="15.0" outlineLevelCol="2"/>
  <cols>
    <col customWidth="1" min="1" max="1" width="6.14"/>
    <col customWidth="1" min="2" max="2" width="5.71"/>
    <col customWidth="1" min="3" max="3" width="5.0"/>
    <col customWidth="1" min="4" max="4" width="6.43"/>
    <col customWidth="1" min="5" max="5" width="6.14"/>
    <col customWidth="1" min="6" max="6" width="34.86"/>
    <col customWidth="1" min="8" max="8" width="36.14"/>
    <col customWidth="1" min="9" max="13" width="14.14"/>
    <col customWidth="1" min="15" max="17" width="60.43"/>
  </cols>
  <sheetData>
    <row r="1" ht="15.75" customHeight="1">
      <c r="A1" s="6"/>
      <c r="B1" s="6" t="s">
        <v>9</v>
      </c>
      <c r="Q1" s="73"/>
    </row>
    <row r="2" ht="15.75" customHeight="1">
      <c r="A2" s="6"/>
      <c r="B2" s="6"/>
      <c r="C2" s="15" t="s">
        <v>415</v>
      </c>
      <c r="Q2" s="73"/>
    </row>
    <row r="3" ht="15.75" customHeight="1">
      <c r="A3" s="6"/>
      <c r="B3" s="6"/>
      <c r="C3" s="15" t="s">
        <v>416</v>
      </c>
      <c r="Q3" s="73"/>
    </row>
    <row r="4" ht="15.75" customHeight="1">
      <c r="A4" s="6"/>
      <c r="B4" s="6"/>
      <c r="C4" s="15" t="s">
        <v>417</v>
      </c>
      <c r="Q4" s="73"/>
    </row>
    <row r="5" ht="15.75" customHeight="1">
      <c r="A5" s="6"/>
      <c r="B5" s="6"/>
      <c r="D5" s="15" t="s">
        <v>419</v>
      </c>
      <c r="Q5" s="73"/>
    </row>
    <row r="6" ht="15.75" customHeight="1">
      <c r="A6" s="6"/>
      <c r="B6" s="6"/>
      <c r="C6" s="15"/>
    </row>
    <row r="7" ht="15.75" customHeight="1">
      <c r="A7" s="6"/>
      <c r="B7" s="6" t="s">
        <v>422</v>
      </c>
      <c r="C7" s="15"/>
    </row>
    <row r="8" ht="15.75" customHeight="1">
      <c r="A8" s="6"/>
      <c r="B8" s="6"/>
      <c r="C8" s="15" t="s">
        <v>423</v>
      </c>
    </row>
    <row r="9" ht="15.75" customHeight="1">
      <c r="A9" s="6"/>
      <c r="B9" s="6"/>
      <c r="C9" s="15"/>
      <c r="D9" s="15" t="s">
        <v>425</v>
      </c>
    </row>
    <row r="10" ht="15.75" customHeight="1">
      <c r="A10" s="6"/>
      <c r="B10" s="6"/>
      <c r="C10" s="15"/>
      <c r="D10" s="15" t="s">
        <v>427</v>
      </c>
    </row>
    <row r="11" ht="15.75" customHeight="1">
      <c r="A11" s="6"/>
      <c r="B11" s="6"/>
      <c r="C11" s="15" t="s">
        <v>429</v>
      </c>
    </row>
    <row r="12" ht="15.75" customHeight="1">
      <c r="A12" s="6"/>
      <c r="B12" s="6"/>
      <c r="C12" s="15"/>
      <c r="D12" s="15" t="s">
        <v>431</v>
      </c>
    </row>
    <row r="13" ht="15.75" customHeight="1">
      <c r="A13" s="6"/>
      <c r="B13" s="6"/>
      <c r="C13" s="15"/>
      <c r="D13" s="15" t="s">
        <v>434</v>
      </c>
    </row>
    <row r="14" ht="15.75" customHeight="1">
      <c r="A14" s="6"/>
      <c r="B14" s="6"/>
      <c r="C14" s="15"/>
      <c r="D14" s="15" t="s">
        <v>439</v>
      </c>
    </row>
    <row r="15" ht="15.75" customHeight="1">
      <c r="A15" s="6"/>
      <c r="B15" s="6"/>
      <c r="C15" s="15" t="s">
        <v>444</v>
      </c>
    </row>
    <row r="16" ht="15.75" customHeight="1">
      <c r="A16" s="6"/>
      <c r="B16" s="6"/>
      <c r="D16" s="15" t="s">
        <v>448</v>
      </c>
    </row>
    <row r="17" ht="15.75" customHeight="1">
      <c r="A17" s="6"/>
      <c r="B17" s="6"/>
      <c r="D17" s="15" t="s">
        <v>453</v>
      </c>
    </row>
    <row r="18" ht="15.75" customHeight="1">
      <c r="A18" s="6"/>
      <c r="B18" s="6"/>
      <c r="Q18" s="73"/>
    </row>
    <row r="19" ht="15.75" customHeight="1">
      <c r="A19" s="6"/>
      <c r="B19" s="6"/>
      <c r="Q19" s="73"/>
    </row>
    <row r="20" ht="15.75" customHeight="1">
      <c r="A20" s="6"/>
      <c r="B20" s="6"/>
      <c r="Q20" s="73"/>
    </row>
    <row r="21" ht="15.75" customHeight="1">
      <c r="B21" s="6" t="s">
        <v>460</v>
      </c>
      <c r="C21" s="6"/>
      <c r="Q21" s="73"/>
    </row>
    <row r="22" ht="15.75" customHeight="1">
      <c r="A22" s="6"/>
      <c r="B22" s="6"/>
      <c r="C22" s="6" t="s">
        <v>463</v>
      </c>
      <c r="D22" s="6"/>
      <c r="K22" s="6"/>
      <c r="L22" s="6"/>
      <c r="M22" s="6"/>
      <c r="N22" s="6"/>
      <c r="O22" s="6"/>
      <c r="P22" s="6"/>
      <c r="Q22" s="81"/>
      <c r="R22" s="6"/>
      <c r="S22" s="6"/>
      <c r="T22" s="6"/>
      <c r="U22" s="6"/>
      <c r="V22" s="6"/>
      <c r="W22" s="6"/>
      <c r="X22" s="6"/>
      <c r="Y22" s="6"/>
      <c r="Z22" s="6"/>
      <c r="AA22" s="6"/>
      <c r="AB22" s="6"/>
    </row>
    <row r="23" ht="15.75" customHeight="1">
      <c r="B23" s="6"/>
      <c r="C23" s="6"/>
      <c r="D23" s="83">
        <f>G113</f>
        <v>600</v>
      </c>
      <c r="H23" s="15" t="s">
        <v>475</v>
      </c>
      <c r="I23" s="83">
        <f>450+D23</f>
        <v>1050</v>
      </c>
      <c r="Q23" s="73"/>
    </row>
    <row r="24" ht="15.75" customHeight="1">
      <c r="B24" s="6"/>
      <c r="C24" s="6"/>
      <c r="D24" s="15" t="s">
        <v>482</v>
      </c>
      <c r="Q24" s="73"/>
    </row>
    <row r="25" ht="15.75" customHeight="1">
      <c r="B25" s="6"/>
      <c r="C25" s="6"/>
      <c r="D25" s="15" t="s">
        <v>485</v>
      </c>
      <c r="Q25" s="73"/>
    </row>
    <row r="26" ht="15.75" customHeight="1">
      <c r="B26" s="6"/>
      <c r="C26" s="6"/>
      <c r="D26" s="24" t="s">
        <v>491</v>
      </c>
      <c r="Q26" s="73"/>
    </row>
    <row r="27" ht="15.75" customHeight="1">
      <c r="B27" s="6"/>
      <c r="C27" s="6"/>
      <c r="Q27" s="73"/>
    </row>
    <row r="28" ht="15.75" customHeight="1">
      <c r="B28" s="6"/>
      <c r="C28" s="6"/>
      <c r="Q28" s="73"/>
    </row>
    <row r="29" ht="15.75" customHeight="1">
      <c r="B29" s="6"/>
      <c r="C29" s="6" t="s">
        <v>497</v>
      </c>
      <c r="Q29" s="73"/>
    </row>
    <row r="30" ht="15.75" customHeight="1">
      <c r="B30" s="6"/>
      <c r="C30" s="6"/>
      <c r="D30" s="15" t="s">
        <v>501</v>
      </c>
      <c r="Q30" s="73"/>
    </row>
    <row r="31" ht="15.75" customHeight="1">
      <c r="B31" s="6"/>
      <c r="C31" s="6"/>
      <c r="D31" s="15" t="s">
        <v>505</v>
      </c>
      <c r="Q31" s="73"/>
    </row>
    <row r="32" ht="15.75" customHeight="1">
      <c r="B32" s="6"/>
      <c r="C32" s="6"/>
      <c r="D32" s="15" t="s">
        <v>507</v>
      </c>
      <c r="Q32" s="73"/>
    </row>
    <row r="33" ht="15.75" customHeight="1">
      <c r="B33" s="6"/>
      <c r="C33" s="6"/>
      <c r="E33" s="15" t="s">
        <v>510</v>
      </c>
      <c r="Q33" s="73"/>
    </row>
    <row r="34" ht="15.75" customHeight="1">
      <c r="B34" s="6"/>
      <c r="C34" s="6"/>
      <c r="F34" s="15" t="s">
        <v>514</v>
      </c>
      <c r="Q34" s="73"/>
    </row>
    <row r="35" ht="15.75" customHeight="1">
      <c r="B35" s="6"/>
      <c r="C35" s="6"/>
      <c r="E35" s="15"/>
      <c r="F35" s="15" t="s">
        <v>519</v>
      </c>
      <c r="Q35" s="73"/>
    </row>
    <row r="36" ht="15.75" customHeight="1">
      <c r="B36" s="6"/>
      <c r="C36" s="6"/>
      <c r="E36" s="15" t="s">
        <v>522</v>
      </c>
      <c r="Q36" s="73"/>
    </row>
    <row r="37" ht="15.75" customHeight="1">
      <c r="B37" s="6"/>
      <c r="C37" s="6"/>
      <c r="F37" s="15" t="s">
        <v>525</v>
      </c>
      <c r="Q37" s="73"/>
    </row>
    <row r="38" ht="15.75" customHeight="1">
      <c r="B38" s="6"/>
      <c r="C38" s="6"/>
      <c r="D38" s="15" t="s">
        <v>527</v>
      </c>
      <c r="Q38" s="73"/>
    </row>
    <row r="39" ht="15.75" customHeight="1">
      <c r="B39" s="6"/>
      <c r="C39" s="6"/>
      <c r="E39" s="15" t="s">
        <v>530</v>
      </c>
      <c r="Q39" s="73"/>
    </row>
    <row r="40" ht="15.75" customHeight="1">
      <c r="B40" s="6"/>
      <c r="C40" s="6"/>
      <c r="F40" s="15" t="s">
        <v>531</v>
      </c>
      <c r="Q40" s="73"/>
    </row>
    <row r="41" ht="15.75" customHeight="1">
      <c r="B41" s="6"/>
      <c r="C41" s="6"/>
      <c r="F41" s="15" t="s">
        <v>534</v>
      </c>
      <c r="Q41" s="73"/>
    </row>
    <row r="42" ht="15.75" customHeight="1">
      <c r="B42" s="6"/>
      <c r="C42" s="6"/>
      <c r="Q42" s="73"/>
    </row>
    <row r="43" ht="15.75" customHeight="1">
      <c r="B43" s="6"/>
      <c r="C43" s="6"/>
      <c r="Q43" s="73"/>
    </row>
    <row r="44" ht="15.75" customHeight="1">
      <c r="B44" s="6"/>
      <c r="C44" s="6" t="s">
        <v>542</v>
      </c>
      <c r="Q44" s="73"/>
    </row>
    <row r="45" ht="15.75" customHeight="1">
      <c r="B45" s="6"/>
      <c r="C45" s="6"/>
      <c r="D45" s="15" t="s">
        <v>546</v>
      </c>
      <c r="Q45" s="73"/>
    </row>
    <row r="46" ht="15.75" customHeight="1">
      <c r="B46" s="6"/>
      <c r="C46" s="6"/>
      <c r="D46" s="15" t="s">
        <v>547</v>
      </c>
      <c r="Q46" s="73"/>
    </row>
    <row r="47" ht="15.75" customHeight="1">
      <c r="B47" s="6"/>
      <c r="D47" s="15" t="s">
        <v>549</v>
      </c>
      <c r="Q47" s="73"/>
    </row>
    <row r="48" ht="15.75" customHeight="1">
      <c r="B48" s="6"/>
      <c r="Q48" s="73"/>
    </row>
    <row r="49" ht="15.75" customHeight="1">
      <c r="B49" s="6"/>
      <c r="C49" s="6"/>
      <c r="D49" s="15"/>
      <c r="Q49" s="73"/>
    </row>
    <row r="50" ht="15.75" customHeight="1">
      <c r="B50" s="6"/>
      <c r="C50" s="6"/>
      <c r="D50" s="15"/>
      <c r="Q50" s="73"/>
    </row>
    <row r="51" ht="15.75" customHeight="1">
      <c r="B51" s="6"/>
      <c r="C51" s="6" t="s">
        <v>560</v>
      </c>
      <c r="D51" s="15"/>
      <c r="Q51" s="73"/>
    </row>
    <row r="52" ht="15.75" customHeight="1">
      <c r="B52" s="6"/>
      <c r="C52" s="6"/>
      <c r="D52" s="15" t="s">
        <v>27</v>
      </c>
      <c r="Q52" s="73"/>
    </row>
    <row r="53" ht="15.75" customHeight="1">
      <c r="B53" s="6"/>
      <c r="C53" s="6"/>
      <c r="D53" s="15"/>
      <c r="E53" s="24" t="s">
        <v>568</v>
      </c>
      <c r="Q53" s="73"/>
    </row>
    <row r="54" ht="15.75" customHeight="1">
      <c r="B54" s="6"/>
      <c r="C54" s="6"/>
      <c r="D54" s="15" t="s">
        <v>572</v>
      </c>
      <c r="Q54" s="73"/>
    </row>
    <row r="55" ht="15.75" customHeight="1">
      <c r="B55" s="6"/>
      <c r="D55" s="15"/>
      <c r="E55" s="28" t="s">
        <v>577</v>
      </c>
      <c r="Q55" s="73"/>
    </row>
    <row r="56" ht="15.75" customHeight="1">
      <c r="B56" s="6"/>
      <c r="D56" s="15" t="s">
        <v>580</v>
      </c>
      <c r="Q56" s="73"/>
    </row>
    <row r="57" ht="15.75" customHeight="1">
      <c r="B57" s="6"/>
      <c r="C57" s="6"/>
      <c r="D57" s="15"/>
      <c r="E57" s="28" t="s">
        <v>585</v>
      </c>
      <c r="Q57" s="73"/>
    </row>
    <row r="58" ht="15.75" customHeight="1">
      <c r="B58" s="6"/>
      <c r="C58" s="6"/>
      <c r="D58" s="15" t="s">
        <v>64</v>
      </c>
      <c r="Q58" s="73"/>
    </row>
    <row r="59" ht="15.75" customHeight="1">
      <c r="B59" s="6"/>
      <c r="C59" s="6"/>
      <c r="E59" s="28" t="s">
        <v>594</v>
      </c>
      <c r="Q59" s="73"/>
    </row>
    <row r="60" ht="15.75" customHeight="1">
      <c r="B60" s="6"/>
      <c r="C60" s="6"/>
      <c r="D60" s="15" t="s">
        <v>596</v>
      </c>
      <c r="Q60" s="73"/>
    </row>
    <row r="61" ht="15.75" customHeight="1">
      <c r="B61" s="6"/>
      <c r="C61" s="6"/>
      <c r="E61" s="28" t="s">
        <v>598</v>
      </c>
      <c r="Q61" s="73"/>
    </row>
    <row r="62" ht="15.75" customHeight="1">
      <c r="B62" s="6"/>
      <c r="C62" s="6"/>
      <c r="Q62" s="73"/>
    </row>
    <row r="63" ht="15.75" customHeight="1">
      <c r="B63" s="6"/>
      <c r="C63" s="6"/>
      <c r="Q63" s="73"/>
    </row>
    <row r="64" ht="15.75" customHeight="1">
      <c r="B64" s="6"/>
      <c r="C64" s="6" t="s">
        <v>601</v>
      </c>
      <c r="Q64" s="73"/>
    </row>
    <row r="65" ht="15.75" customHeight="1">
      <c r="B65" s="6"/>
      <c r="C65" s="6"/>
      <c r="D65" s="15" t="s">
        <v>602</v>
      </c>
      <c r="Q65" s="73"/>
    </row>
    <row r="66" ht="15.75" customHeight="1">
      <c r="B66" s="6"/>
      <c r="C66" s="6"/>
      <c r="D66" s="15" t="s">
        <v>603</v>
      </c>
      <c r="Q66" s="73"/>
    </row>
    <row r="67" ht="15.75" customHeight="1">
      <c r="B67" s="6"/>
      <c r="C67" s="6"/>
      <c r="D67" s="15" t="s">
        <v>605</v>
      </c>
      <c r="Q67" s="73"/>
    </row>
    <row r="68" ht="15.75" customHeight="1">
      <c r="B68" s="6"/>
      <c r="C68" s="6"/>
      <c r="E68" s="15" t="s">
        <v>126</v>
      </c>
      <c r="Q68" s="73"/>
    </row>
    <row r="69" ht="15.75" customHeight="1">
      <c r="B69" s="6"/>
      <c r="C69" s="6"/>
      <c r="E69" s="15" t="s">
        <v>145</v>
      </c>
      <c r="H69" s="15" t="s">
        <v>609</v>
      </c>
      <c r="Q69" s="73"/>
    </row>
    <row r="70" ht="15.75" customHeight="1">
      <c r="B70" s="6"/>
      <c r="C70" s="6"/>
      <c r="E70" s="15" t="s">
        <v>129</v>
      </c>
      <c r="Q70" s="73"/>
    </row>
    <row r="71" ht="15.75" customHeight="1">
      <c r="B71" s="6"/>
      <c r="C71" s="6"/>
      <c r="E71" s="15" t="s">
        <v>610</v>
      </c>
      <c r="Q71" s="73"/>
    </row>
    <row r="72" ht="15.75" customHeight="1">
      <c r="B72" s="6"/>
      <c r="C72" s="6"/>
      <c r="Q72" s="73"/>
    </row>
    <row r="73" ht="15.75" customHeight="1">
      <c r="B73" s="6"/>
      <c r="C73" s="6"/>
      <c r="Q73" s="73"/>
    </row>
    <row r="74" ht="15.75" customHeight="1">
      <c r="B74" s="6"/>
      <c r="C74" s="6" t="s">
        <v>611</v>
      </c>
      <c r="Q74" s="73"/>
    </row>
    <row r="75" ht="15.75" customHeight="1">
      <c r="B75" s="6"/>
      <c r="C75" s="6"/>
      <c r="D75" s="15" t="s">
        <v>612</v>
      </c>
      <c r="Q75" s="73"/>
    </row>
    <row r="76" ht="15.75" customHeight="1">
      <c r="B76" s="6"/>
      <c r="C76" s="6"/>
      <c r="D76" s="15"/>
      <c r="E76" s="15" t="s">
        <v>615</v>
      </c>
      <c r="Q76" s="73"/>
    </row>
    <row r="77" ht="15.75" customHeight="1">
      <c r="B77" s="6"/>
      <c r="C77" s="6"/>
      <c r="D77" s="15"/>
      <c r="E77" s="15" t="s">
        <v>617</v>
      </c>
      <c r="Q77" s="73"/>
    </row>
    <row r="78" ht="15.75" customHeight="1">
      <c r="B78" s="6"/>
      <c r="C78" s="6"/>
      <c r="D78" s="15" t="s">
        <v>620</v>
      </c>
      <c r="Q78" s="73"/>
    </row>
    <row r="79" ht="15.75" customHeight="1">
      <c r="B79" s="6"/>
      <c r="C79" s="6"/>
      <c r="D79" s="15"/>
      <c r="E79" s="15" t="s">
        <v>623</v>
      </c>
      <c r="Q79" s="73"/>
    </row>
    <row r="80" ht="15.75" customHeight="1">
      <c r="B80" s="6"/>
      <c r="C80" s="6"/>
      <c r="D80" s="15"/>
      <c r="E80" s="15" t="s">
        <v>625</v>
      </c>
      <c r="Q80" s="73"/>
    </row>
    <row r="81" ht="15.75" customHeight="1">
      <c r="B81" s="6"/>
      <c r="C81" s="6"/>
      <c r="D81" s="15"/>
      <c r="F81" s="15" t="s">
        <v>626</v>
      </c>
      <c r="Q81" s="73"/>
    </row>
    <row r="82" ht="15.75" customHeight="1">
      <c r="B82" s="6"/>
      <c r="C82" s="6"/>
      <c r="D82" s="15" t="s">
        <v>629</v>
      </c>
      <c r="Q82" s="73"/>
    </row>
    <row r="83" ht="15.75" customHeight="1">
      <c r="B83" s="6"/>
      <c r="C83" s="6"/>
      <c r="E83" s="15" t="s">
        <v>633</v>
      </c>
      <c r="Q83" s="73"/>
    </row>
    <row r="84" ht="15.75" customHeight="1">
      <c r="B84" s="6"/>
      <c r="C84" s="6"/>
      <c r="F84" s="15" t="s">
        <v>635</v>
      </c>
      <c r="Q84" s="73"/>
    </row>
    <row r="85" ht="15.75" customHeight="1">
      <c r="B85" s="6"/>
      <c r="C85" s="6"/>
      <c r="E85" s="15"/>
      <c r="F85" s="15" t="s">
        <v>638</v>
      </c>
      <c r="Q85" s="73"/>
    </row>
    <row r="86" ht="15.75" customHeight="1">
      <c r="B86" s="6"/>
      <c r="C86" s="6"/>
      <c r="E86" s="15" t="s">
        <v>640</v>
      </c>
      <c r="Q86" s="73"/>
    </row>
    <row r="87" ht="15.75" customHeight="1">
      <c r="B87" s="6"/>
      <c r="C87" s="6"/>
      <c r="F87" s="15" t="s">
        <v>642</v>
      </c>
      <c r="Q87" s="73"/>
    </row>
    <row r="88" ht="15.75" customHeight="1">
      <c r="B88" s="6"/>
      <c r="C88" s="6"/>
      <c r="E88" s="15" t="s">
        <v>645</v>
      </c>
      <c r="Q88" s="73"/>
    </row>
    <row r="89" ht="15.75" customHeight="1">
      <c r="B89" s="6"/>
      <c r="C89" s="6"/>
      <c r="Q89" s="73"/>
    </row>
    <row r="90" ht="15.75" customHeight="1">
      <c r="B90" s="6"/>
      <c r="C90" s="6"/>
      <c r="Q90" s="73"/>
    </row>
    <row r="91" ht="15.75" customHeight="1">
      <c r="B91" s="6"/>
      <c r="C91" s="6"/>
      <c r="Q91" s="73"/>
    </row>
    <row r="92" ht="15.75" customHeight="1">
      <c r="B92" s="6" t="s">
        <v>649</v>
      </c>
      <c r="C92" s="6"/>
      <c r="Q92" s="73"/>
    </row>
    <row r="93" ht="15.75" customHeight="1">
      <c r="A93" s="6"/>
      <c r="F93" s="6" t="s">
        <v>650</v>
      </c>
      <c r="G93" s="6" t="s">
        <v>652</v>
      </c>
      <c r="H93" s="81"/>
      <c r="I93" s="81" t="s">
        <v>654</v>
      </c>
      <c r="Q93" s="73"/>
    </row>
    <row r="94" ht="15.75" customHeight="1">
      <c r="A94" s="6"/>
      <c r="B94" s="15" t="s">
        <v>655</v>
      </c>
      <c r="F94" s="85" t="s">
        <v>656</v>
      </c>
      <c r="G94" s="86">
        <v>0.0</v>
      </c>
      <c r="H94" s="73" t="s">
        <v>657</v>
      </c>
      <c r="I94" s="87">
        <f t="shared" ref="I94:K94" si="1">1-I106</f>
        <v>0.75</v>
      </c>
      <c r="J94" s="87">
        <f t="shared" si="1"/>
        <v>0.650001</v>
      </c>
      <c r="K94" s="87">
        <f t="shared" si="1"/>
        <v>0.54999</v>
      </c>
      <c r="Q94" s="73"/>
    </row>
    <row r="95" ht="15.75" customHeight="1">
      <c r="A95" s="6"/>
      <c r="B95" s="15" t="s">
        <v>660</v>
      </c>
      <c r="F95" s="15" t="s">
        <v>661</v>
      </c>
      <c r="G95" s="88">
        <v>150.0</v>
      </c>
      <c r="H95" s="73"/>
      <c r="I95" s="87"/>
      <c r="J95" s="87"/>
      <c r="K95" s="87"/>
      <c r="Q95" s="73"/>
    </row>
    <row r="96" ht="15.75" customHeight="1">
      <c r="A96" s="6"/>
      <c r="C96" s="15" t="s">
        <v>655</v>
      </c>
      <c r="D96" s="89"/>
      <c r="F96" s="90" t="s">
        <v>27</v>
      </c>
      <c r="G96" s="86" t="s">
        <v>119</v>
      </c>
      <c r="H96" s="73" t="s">
        <v>669</v>
      </c>
      <c r="Q96" s="73"/>
    </row>
    <row r="97" ht="15.75" customHeight="1">
      <c r="A97" s="6"/>
      <c r="C97" s="15" t="s">
        <v>670</v>
      </c>
      <c r="F97" s="85" t="s">
        <v>596</v>
      </c>
      <c r="G97" s="88">
        <v>100.0</v>
      </c>
      <c r="H97" s="73"/>
      <c r="I97" s="87"/>
      <c r="J97" s="87"/>
      <c r="K97" s="87"/>
      <c r="Q97" s="73"/>
    </row>
    <row r="98" ht="15.75" customHeight="1">
      <c r="A98" s="6"/>
      <c r="C98" s="15"/>
      <c r="D98" s="15" t="s">
        <v>670</v>
      </c>
      <c r="F98" s="15" t="s">
        <v>672</v>
      </c>
      <c r="G98" s="86">
        <v>90.0</v>
      </c>
      <c r="H98" s="73" t="s">
        <v>673</v>
      </c>
      <c r="Q98" s="73"/>
    </row>
    <row r="99" ht="15.75" customHeight="1">
      <c r="A99" s="6"/>
      <c r="C99" s="15" t="s">
        <v>675</v>
      </c>
      <c r="F99" s="85" t="s">
        <v>676</v>
      </c>
      <c r="G99" s="88">
        <v>150.0</v>
      </c>
      <c r="H99" s="87"/>
      <c r="I99" s="87">
        <v>0.09</v>
      </c>
      <c r="J99" s="87">
        <v>0.123333</v>
      </c>
      <c r="K99" s="87">
        <v>0.15667</v>
      </c>
      <c r="Q99" s="73"/>
    </row>
    <row r="100" ht="15.75" customHeight="1">
      <c r="A100" s="6"/>
      <c r="D100" s="15" t="s">
        <v>670</v>
      </c>
      <c r="F100" s="85" t="s">
        <v>679</v>
      </c>
      <c r="G100" s="86" t="s">
        <v>119</v>
      </c>
      <c r="H100" s="73" t="s">
        <v>680</v>
      </c>
      <c r="I100" s="87"/>
      <c r="J100" s="87"/>
      <c r="K100" s="87"/>
      <c r="Q100" s="73"/>
    </row>
    <row r="101" ht="15.75" customHeight="1">
      <c r="A101" s="6"/>
      <c r="C101" s="15" t="s">
        <v>660</v>
      </c>
      <c r="F101" s="85" t="s">
        <v>682</v>
      </c>
      <c r="G101" s="86" t="s">
        <v>119</v>
      </c>
      <c r="H101" s="87"/>
      <c r="I101" s="87">
        <v>0.09</v>
      </c>
      <c r="J101" s="87">
        <v>0.123333</v>
      </c>
      <c r="K101" s="87">
        <v>0.15667</v>
      </c>
      <c r="Q101" s="73"/>
    </row>
    <row r="102" ht="15.75" customHeight="1">
      <c r="A102" s="6"/>
      <c r="D102" s="15" t="s">
        <v>685</v>
      </c>
      <c r="F102" s="85"/>
      <c r="G102" s="86">
        <v>40.0</v>
      </c>
      <c r="H102" s="87"/>
      <c r="I102" s="87"/>
      <c r="J102" s="87"/>
      <c r="K102" s="87"/>
      <c r="Q102" s="73"/>
    </row>
    <row r="103" ht="15.75" customHeight="1">
      <c r="A103" s="6"/>
      <c r="D103" s="15">
        <v>2.0</v>
      </c>
      <c r="E103" s="15" t="s">
        <v>687</v>
      </c>
      <c r="F103" s="85"/>
      <c r="G103" s="86">
        <f>D103*25</f>
        <v>50</v>
      </c>
      <c r="H103" s="87"/>
      <c r="I103" s="87"/>
      <c r="J103" s="87"/>
      <c r="K103" s="87"/>
      <c r="Q103" s="73"/>
    </row>
    <row r="104" ht="15.75" customHeight="1">
      <c r="A104" s="6"/>
      <c r="C104" s="15" t="s">
        <v>694</v>
      </c>
      <c r="F104" s="85" t="s">
        <v>695</v>
      </c>
      <c r="G104" s="86">
        <v>75.0</v>
      </c>
      <c r="H104" s="73" t="s">
        <v>696</v>
      </c>
      <c r="I104" s="87">
        <v>0.07</v>
      </c>
      <c r="J104" s="87">
        <v>0.103333</v>
      </c>
      <c r="K104" s="87">
        <v>0.13667</v>
      </c>
      <c r="Q104" s="73"/>
    </row>
    <row r="105" ht="9.0" customHeight="1">
      <c r="A105" s="6"/>
      <c r="F105" s="85"/>
      <c r="G105" s="86"/>
      <c r="H105" s="87"/>
      <c r="I105" s="87"/>
      <c r="J105" s="73"/>
      <c r="K105" s="73"/>
      <c r="Q105" s="73"/>
    </row>
    <row r="106" ht="15.75" customHeight="1">
      <c r="A106" s="6"/>
      <c r="C106" s="74" t="s">
        <v>697</v>
      </c>
      <c r="D106" s="6"/>
      <c r="E106" s="6"/>
      <c r="F106" s="92"/>
      <c r="G106" s="93">
        <f>sum(G94:G105)</f>
        <v>655</v>
      </c>
      <c r="H106" s="94"/>
      <c r="I106" s="94">
        <f t="shared" ref="I106:K106" si="2">sum(I95:I105)</f>
        <v>0.25</v>
      </c>
      <c r="J106" s="94">
        <f t="shared" si="2"/>
        <v>0.349999</v>
      </c>
      <c r="K106" s="94">
        <f t="shared" si="2"/>
        <v>0.45001</v>
      </c>
      <c r="Q106" s="73"/>
    </row>
    <row r="107" ht="15.75" customHeight="1">
      <c r="A107" s="6"/>
      <c r="D107" s="15" t="s">
        <v>701</v>
      </c>
      <c r="G107" s="86">
        <f>G103+G102</f>
        <v>90</v>
      </c>
      <c r="Q107" s="73"/>
    </row>
    <row r="108" ht="15.75" customHeight="1">
      <c r="A108" s="6"/>
      <c r="Q108" s="73"/>
    </row>
    <row r="109" ht="15.75" customHeight="1">
      <c r="A109" s="6"/>
      <c r="C109" s="6" t="s">
        <v>707</v>
      </c>
      <c r="G109" s="93">
        <f>G106-G107</f>
        <v>565</v>
      </c>
      <c r="Q109" s="73"/>
    </row>
    <row r="110" ht="15.75" customHeight="1">
      <c r="A110" s="6"/>
      <c r="G110" s="93"/>
      <c r="Q110" s="73"/>
    </row>
    <row r="111" ht="15.75" customHeight="1">
      <c r="A111" s="6"/>
      <c r="C111" s="6" t="s">
        <v>715</v>
      </c>
      <c r="D111" s="6"/>
      <c r="E111" s="6"/>
      <c r="F111" s="6"/>
      <c r="G111" s="93">
        <v>35.0</v>
      </c>
      <c r="Q111" s="73"/>
    </row>
    <row r="112" ht="15.75" customHeight="1">
      <c r="A112" s="6"/>
      <c r="G112" s="93"/>
      <c r="Q112" s="73"/>
    </row>
    <row r="113" ht="15.75" customHeight="1">
      <c r="A113" s="6"/>
      <c r="B113" s="6" t="s">
        <v>718</v>
      </c>
      <c r="C113" s="6"/>
      <c r="D113" s="6"/>
      <c r="E113" s="6"/>
      <c r="F113" s="6"/>
      <c r="G113" s="93">
        <f>G111+G109</f>
        <v>600</v>
      </c>
      <c r="H113" s="81"/>
      <c r="I113" s="6"/>
      <c r="J113" s="6"/>
      <c r="K113" s="6"/>
      <c r="L113" s="6"/>
      <c r="M113" s="6"/>
      <c r="N113" s="6"/>
      <c r="O113" s="6"/>
      <c r="P113" s="6"/>
      <c r="Q113" s="81"/>
      <c r="R113" s="6"/>
      <c r="S113" s="6"/>
      <c r="T113" s="6"/>
      <c r="U113" s="6"/>
      <c r="V113" s="6"/>
      <c r="W113" s="6"/>
      <c r="X113" s="6"/>
      <c r="Y113" s="6"/>
      <c r="Z113" s="6"/>
      <c r="AA113" s="6"/>
      <c r="AB113" s="6"/>
    </row>
    <row r="114" ht="15.75" customHeight="1">
      <c r="A114" s="6"/>
      <c r="H114" s="73"/>
      <c r="Q114" s="73"/>
    </row>
    <row r="115" ht="15.75" customHeight="1">
      <c r="A115" s="6"/>
      <c r="B115" s="6"/>
      <c r="Q115" s="73"/>
    </row>
    <row r="116" ht="15.75" customHeight="1">
      <c r="A116" s="6"/>
      <c r="B116" s="6"/>
      <c r="Q116" s="73"/>
    </row>
    <row r="117" ht="15.75" customHeight="1">
      <c r="A117" s="6"/>
      <c r="B117" s="6"/>
      <c r="Q117" s="73"/>
    </row>
    <row r="118" ht="15.75" customHeight="1">
      <c r="A118" s="6"/>
      <c r="B118" s="6" t="s">
        <v>726</v>
      </c>
      <c r="O118" s="6" t="s">
        <v>32</v>
      </c>
      <c r="P118" s="6" t="s">
        <v>675</v>
      </c>
      <c r="Q118" s="81" t="s">
        <v>192</v>
      </c>
    </row>
    <row r="119" ht="15.75" customHeight="1">
      <c r="A119" s="6"/>
      <c r="B119" s="6"/>
      <c r="C119" s="15">
        <v>1.0</v>
      </c>
      <c r="D119" s="15" t="s">
        <v>727</v>
      </c>
      <c r="O119" s="95" t="s">
        <v>728</v>
      </c>
      <c r="P119" s="95" t="s">
        <v>729</v>
      </c>
      <c r="Q119" s="21" t="s">
        <v>730</v>
      </c>
    </row>
    <row r="120" ht="15.75" customHeight="1">
      <c r="A120" s="6"/>
      <c r="B120" s="6"/>
      <c r="C120" s="15">
        <v>2.0</v>
      </c>
      <c r="D120" s="15" t="s">
        <v>731</v>
      </c>
      <c r="O120" s="95" t="s">
        <v>732</v>
      </c>
      <c r="P120" s="95" t="s">
        <v>734</v>
      </c>
      <c r="Q120" s="95" t="s">
        <v>734</v>
      </c>
    </row>
    <row r="121" ht="15.75" customHeight="1">
      <c r="A121" s="6"/>
      <c r="B121" s="6"/>
      <c r="C121" s="15">
        <v>3.0</v>
      </c>
      <c r="D121" s="15" t="s">
        <v>736</v>
      </c>
      <c r="O121" s="95" t="s">
        <v>738</v>
      </c>
      <c r="P121" s="95" t="s">
        <v>738</v>
      </c>
      <c r="Q121" s="21" t="s">
        <v>739</v>
      </c>
    </row>
    <row r="122" ht="15.75" customHeight="1">
      <c r="A122" s="6"/>
      <c r="B122" s="6"/>
      <c r="E122" s="15" t="s">
        <v>741</v>
      </c>
      <c r="O122" s="95" t="s">
        <v>743</v>
      </c>
      <c r="P122" s="95" t="s">
        <v>744</v>
      </c>
      <c r="Q122" s="21" t="s">
        <v>743</v>
      </c>
    </row>
    <row r="123" ht="15.75" customHeight="1">
      <c r="A123" s="6"/>
      <c r="B123" s="6"/>
      <c r="C123" s="15"/>
      <c r="D123" s="15"/>
      <c r="E123" s="15" t="s">
        <v>748</v>
      </c>
      <c r="O123" s="95" t="s">
        <v>750</v>
      </c>
      <c r="P123" s="95" t="s">
        <v>751</v>
      </c>
      <c r="Q123" s="21"/>
    </row>
    <row r="124" ht="15.75" customHeight="1">
      <c r="A124" s="6"/>
      <c r="B124" s="6"/>
      <c r="C124" s="15"/>
      <c r="D124" s="15"/>
      <c r="F124" s="15" t="s">
        <v>754</v>
      </c>
      <c r="O124" s="95">
        <v>25.0</v>
      </c>
      <c r="P124" s="95">
        <v>40.0</v>
      </c>
      <c r="Q124" s="21">
        <v>15.0</v>
      </c>
    </row>
    <row r="125" ht="15.75" customHeight="1">
      <c r="A125" s="6"/>
      <c r="B125" s="6"/>
      <c r="C125" s="15">
        <v>4.0</v>
      </c>
      <c r="D125" s="15" t="s">
        <v>756</v>
      </c>
      <c r="O125" s="95"/>
      <c r="P125" s="95"/>
      <c r="Q125" s="21"/>
    </row>
    <row r="126" ht="15.75" customHeight="1">
      <c r="A126" s="6"/>
      <c r="B126" s="6"/>
      <c r="E126" s="15" t="s">
        <v>758</v>
      </c>
      <c r="O126" s="95" t="s">
        <v>759</v>
      </c>
      <c r="P126" s="95"/>
      <c r="Q126" s="21"/>
    </row>
    <row r="127" ht="15.75" customHeight="1">
      <c r="A127" s="6"/>
      <c r="B127" s="6"/>
      <c r="E127" s="15"/>
      <c r="F127" s="15" t="s">
        <v>760</v>
      </c>
      <c r="O127" s="95" t="s">
        <v>762</v>
      </c>
      <c r="P127" s="95"/>
      <c r="Q127" s="21"/>
    </row>
    <row r="128" ht="15.75" customHeight="1">
      <c r="A128" s="6"/>
      <c r="B128" s="6"/>
      <c r="E128" s="15" t="s">
        <v>764</v>
      </c>
      <c r="O128" s="95" t="s">
        <v>766</v>
      </c>
      <c r="P128" s="95"/>
      <c r="Q128" s="21"/>
    </row>
    <row r="129" ht="15.75" customHeight="1">
      <c r="A129" s="6"/>
      <c r="B129" s="6"/>
      <c r="E129" s="15" t="s">
        <v>767</v>
      </c>
      <c r="O129" s="95" t="s">
        <v>768</v>
      </c>
      <c r="P129" s="95"/>
      <c r="Q129" s="21"/>
    </row>
    <row r="130" ht="15.75" customHeight="1">
      <c r="A130" s="6"/>
      <c r="B130" s="6"/>
      <c r="Q130" s="73"/>
    </row>
    <row r="131" ht="15.75" customHeight="1">
      <c r="A131" s="6"/>
      <c r="B131" s="6"/>
      <c r="Q131" s="73"/>
    </row>
    <row r="132" ht="15.75" customHeight="1">
      <c r="A132" s="6"/>
      <c r="B132" s="6" t="s">
        <v>771</v>
      </c>
      <c r="G132" s="6" t="s">
        <v>772</v>
      </c>
      <c r="N132" s="6" t="s">
        <v>775</v>
      </c>
    </row>
    <row r="133" ht="15.75" customHeight="1">
      <c r="A133" s="6"/>
      <c r="B133" s="6"/>
      <c r="C133" s="15" t="s">
        <v>779</v>
      </c>
      <c r="G133" s="6"/>
      <c r="H133" s="15" t="s">
        <v>780</v>
      </c>
      <c r="N133" s="6"/>
      <c r="O133" s="15" t="s">
        <v>782</v>
      </c>
    </row>
    <row r="134" ht="15.75" customHeight="1">
      <c r="A134" s="6"/>
      <c r="B134" s="6"/>
      <c r="D134" s="15" t="s">
        <v>785</v>
      </c>
      <c r="G134" s="6"/>
      <c r="I134" s="15" t="s">
        <v>787</v>
      </c>
      <c r="N134" s="6"/>
      <c r="O134" s="15" t="s">
        <v>788</v>
      </c>
    </row>
    <row r="135" ht="15.75" customHeight="1">
      <c r="A135" s="6"/>
      <c r="B135" s="6"/>
      <c r="C135" s="15" t="s">
        <v>788</v>
      </c>
      <c r="G135" s="6"/>
      <c r="H135" s="15"/>
      <c r="I135" s="15" t="s">
        <v>790</v>
      </c>
      <c r="N135" s="6"/>
      <c r="O135" s="15"/>
      <c r="P135" s="15" t="s">
        <v>792</v>
      </c>
    </row>
    <row r="136" ht="15.75" customHeight="1">
      <c r="A136" s="6"/>
      <c r="B136" s="6"/>
      <c r="D136" s="15" t="s">
        <v>793</v>
      </c>
      <c r="G136" s="6"/>
      <c r="H136" s="15" t="s">
        <v>788</v>
      </c>
      <c r="N136" s="6"/>
      <c r="O136" s="15" t="s">
        <v>794</v>
      </c>
    </row>
    <row r="137" ht="15.75" customHeight="1">
      <c r="A137" s="6"/>
      <c r="B137" s="6"/>
      <c r="E137" s="15" t="s">
        <v>796</v>
      </c>
      <c r="G137" s="6"/>
      <c r="I137" s="15" t="s">
        <v>797</v>
      </c>
      <c r="N137" s="6"/>
      <c r="P137" s="15" t="s">
        <v>798</v>
      </c>
    </row>
    <row r="138" ht="15.75" customHeight="1">
      <c r="A138" s="6"/>
      <c r="B138" s="6"/>
      <c r="D138" s="15" t="s">
        <v>799</v>
      </c>
      <c r="G138" s="6"/>
      <c r="I138" s="15" t="s">
        <v>800</v>
      </c>
      <c r="N138" s="6"/>
      <c r="O138" s="15"/>
      <c r="P138" s="15" t="s">
        <v>801</v>
      </c>
    </row>
    <row r="139" ht="15.75" customHeight="1">
      <c r="A139" s="6"/>
      <c r="B139" s="6"/>
      <c r="D139" s="15"/>
      <c r="E139" s="15" t="s">
        <v>802</v>
      </c>
      <c r="G139" s="6"/>
      <c r="H139" s="15" t="s">
        <v>803</v>
      </c>
      <c r="N139" s="6"/>
      <c r="O139" s="15" t="s">
        <v>804</v>
      </c>
    </row>
    <row r="140" ht="15.75" customHeight="1">
      <c r="A140" s="6"/>
      <c r="B140" s="6"/>
      <c r="D140" s="15" t="s">
        <v>805</v>
      </c>
      <c r="G140" s="6"/>
      <c r="I140" s="15" t="s">
        <v>806</v>
      </c>
      <c r="N140" s="6"/>
      <c r="O140" s="24"/>
      <c r="P140" s="15" t="s">
        <v>807</v>
      </c>
    </row>
    <row r="141" ht="15.75" customHeight="1">
      <c r="A141" s="6"/>
      <c r="B141" s="6"/>
      <c r="E141" s="15" t="s">
        <v>808</v>
      </c>
      <c r="G141" s="6"/>
      <c r="I141" s="15" t="s">
        <v>809</v>
      </c>
      <c r="Q141" s="73"/>
    </row>
    <row r="142" ht="15.75" customHeight="1">
      <c r="A142" s="6"/>
      <c r="B142" s="6"/>
      <c r="E142" s="15" t="s">
        <v>810</v>
      </c>
      <c r="G142" s="6"/>
      <c r="H142" s="15" t="s">
        <v>804</v>
      </c>
      <c r="Q142" s="73"/>
    </row>
    <row r="143" ht="15.75" customHeight="1">
      <c r="A143" s="6"/>
      <c r="B143" s="6"/>
      <c r="C143" s="15" t="s">
        <v>804</v>
      </c>
      <c r="G143" s="6"/>
      <c r="I143" s="15" t="s">
        <v>811</v>
      </c>
      <c r="Q143" s="73"/>
    </row>
    <row r="144" ht="15.75" customHeight="1">
      <c r="A144" s="6"/>
      <c r="B144" s="6"/>
      <c r="D144" s="15" t="s">
        <v>813</v>
      </c>
      <c r="G144" s="6"/>
      <c r="I144" s="15" t="s">
        <v>814</v>
      </c>
      <c r="Q144" s="73"/>
    </row>
    <row r="145" ht="15.75" customHeight="1">
      <c r="A145" s="6"/>
      <c r="B145" s="6"/>
      <c r="D145" s="15" t="s">
        <v>815</v>
      </c>
      <c r="Q145" s="73"/>
    </row>
    <row r="146" ht="15.75" customHeight="1">
      <c r="A146" s="6"/>
      <c r="B146" s="6"/>
      <c r="D146" s="15"/>
      <c r="Q146" s="73"/>
    </row>
    <row r="147" ht="15.75" customHeight="1">
      <c r="A147" s="6"/>
      <c r="B147" s="6"/>
      <c r="Q147" s="73"/>
    </row>
    <row r="148" ht="15.75" customHeight="1">
      <c r="A148" s="6"/>
      <c r="B148" s="6"/>
      <c r="Q148" s="73"/>
    </row>
    <row r="149" ht="15.75" customHeight="1">
      <c r="A149" s="6"/>
      <c r="B149" s="6"/>
      <c r="Q149" s="73"/>
    </row>
    <row r="150" ht="15.75" customHeight="1">
      <c r="A150" s="6"/>
      <c r="B150" s="6"/>
      <c r="Q150" s="73"/>
    </row>
    <row r="151" ht="15.75" customHeight="1">
      <c r="A151" s="6"/>
      <c r="B151" s="6"/>
      <c r="Q151" s="73"/>
    </row>
    <row r="152" ht="15.75" customHeight="1">
      <c r="A152" s="6"/>
      <c r="B152" s="6"/>
      <c r="Q152" s="73"/>
    </row>
    <row r="153" ht="15.75" customHeight="1">
      <c r="A153" s="6"/>
      <c r="B153" s="6"/>
      <c r="Q153" s="73"/>
    </row>
    <row r="154" ht="15.75" customHeight="1">
      <c r="A154" s="6"/>
      <c r="B154" s="6"/>
      <c r="Q154" s="73"/>
    </row>
    <row r="155" ht="15.75" customHeight="1">
      <c r="A155" s="6"/>
      <c r="B155" s="6"/>
      <c r="Q155" s="73"/>
    </row>
    <row r="156" ht="15.75" customHeight="1">
      <c r="A156" s="6"/>
      <c r="B156" s="6"/>
      <c r="Q156" s="73"/>
    </row>
    <row r="157" ht="15.75" customHeight="1">
      <c r="A157" s="6"/>
      <c r="B157" s="6"/>
      <c r="Q157" s="73"/>
    </row>
    <row r="158" ht="15.75" customHeight="1">
      <c r="A158" s="6"/>
      <c r="B158" s="6"/>
      <c r="Q158" s="73"/>
    </row>
    <row r="159" ht="15.75" customHeight="1">
      <c r="A159" s="6"/>
      <c r="B159" s="6"/>
      <c r="Q159" s="73"/>
    </row>
    <row r="160" ht="15.75" customHeight="1">
      <c r="A160" s="6"/>
      <c r="B160" s="6"/>
      <c r="Q160" s="73"/>
    </row>
    <row r="161" ht="15.75" customHeight="1">
      <c r="A161" s="6"/>
      <c r="B161" s="6"/>
      <c r="Q161" s="73"/>
    </row>
    <row r="162" ht="15.75" customHeight="1">
      <c r="A162" s="6"/>
      <c r="B162" s="6"/>
      <c r="Q162" s="73"/>
    </row>
    <row r="163" ht="15.75" customHeight="1">
      <c r="A163" s="6"/>
      <c r="B163" s="6"/>
      <c r="Q163" s="73"/>
    </row>
    <row r="164" ht="15.75" customHeight="1">
      <c r="A164" s="6"/>
      <c r="B164" s="6"/>
      <c r="Q164" s="73"/>
    </row>
    <row r="165" ht="15.75" customHeight="1">
      <c r="A165" s="6"/>
      <c r="B165" s="6"/>
      <c r="Q165" s="73"/>
    </row>
    <row r="166" ht="15.75" customHeight="1">
      <c r="A166" s="6"/>
      <c r="B166" s="6"/>
      <c r="Q166" s="73"/>
    </row>
    <row r="167" ht="15.75" customHeight="1">
      <c r="A167" s="6"/>
      <c r="B167" s="6"/>
      <c r="Q167" s="73"/>
    </row>
    <row r="168" ht="15.75" customHeight="1">
      <c r="A168" s="6"/>
      <c r="B168" s="6"/>
      <c r="Q168" s="73"/>
    </row>
    <row r="169" ht="15.75" customHeight="1">
      <c r="A169" s="6"/>
      <c r="B169" s="6"/>
      <c r="Q169" s="73"/>
    </row>
    <row r="170" ht="15.75" customHeight="1">
      <c r="A170" s="6"/>
      <c r="B170" s="6"/>
      <c r="Q170" s="73"/>
    </row>
    <row r="171" ht="15.75" customHeight="1">
      <c r="A171" s="6"/>
      <c r="B171" s="6"/>
      <c r="Q171" s="73"/>
    </row>
    <row r="172" ht="15.75" customHeight="1">
      <c r="A172" s="6"/>
      <c r="B172" s="6"/>
      <c r="Q172" s="73"/>
    </row>
    <row r="173" ht="15.75" customHeight="1">
      <c r="A173" s="6"/>
      <c r="B173" s="6"/>
      <c r="Q173" s="73"/>
    </row>
    <row r="174" ht="15.75" customHeight="1">
      <c r="A174" s="6"/>
      <c r="B174" s="6"/>
      <c r="Q174" s="73"/>
    </row>
    <row r="175" ht="15.75" customHeight="1">
      <c r="A175" s="6"/>
      <c r="B175" s="6"/>
      <c r="Q175" s="73"/>
    </row>
    <row r="176" ht="15.75" customHeight="1">
      <c r="A176" s="6"/>
      <c r="B176" s="6"/>
      <c r="Q176" s="73"/>
    </row>
    <row r="177" ht="15.75" customHeight="1">
      <c r="A177" s="6"/>
      <c r="B177" s="6"/>
      <c r="Q177" s="73"/>
    </row>
    <row r="178" ht="15.75" customHeight="1">
      <c r="A178" s="6"/>
      <c r="B178" s="6"/>
      <c r="Q178" s="73"/>
    </row>
    <row r="179" ht="15.75" customHeight="1">
      <c r="A179" s="6"/>
      <c r="B179" s="6"/>
      <c r="Q179" s="73"/>
    </row>
    <row r="180" ht="15.75" customHeight="1">
      <c r="A180" s="6"/>
      <c r="B180" s="6"/>
      <c r="Q180" s="73"/>
    </row>
    <row r="181" ht="15.75" customHeight="1">
      <c r="A181" s="6"/>
      <c r="B181" s="6"/>
      <c r="Q181" s="73"/>
    </row>
    <row r="182" ht="15.75" customHeight="1">
      <c r="A182" s="6"/>
      <c r="B182" s="6"/>
      <c r="Q182" s="73"/>
    </row>
    <row r="183" ht="15.75" customHeight="1">
      <c r="A183" s="6"/>
      <c r="B183" s="6"/>
      <c r="Q183" s="73"/>
    </row>
    <row r="184" ht="15.75" customHeight="1">
      <c r="A184" s="6"/>
      <c r="B184" s="6"/>
      <c r="Q184" s="73"/>
    </row>
    <row r="185" ht="15.75" customHeight="1">
      <c r="A185" s="6"/>
      <c r="B185" s="6"/>
      <c r="Q185" s="73"/>
    </row>
    <row r="186" ht="15.75" customHeight="1">
      <c r="A186" s="6"/>
      <c r="B186" s="6"/>
      <c r="Q186" s="73"/>
    </row>
    <row r="187" ht="15.75" customHeight="1">
      <c r="A187" s="6"/>
      <c r="B187" s="6"/>
      <c r="Q187" s="73"/>
    </row>
    <row r="188" ht="15.75" customHeight="1">
      <c r="A188" s="6"/>
      <c r="B188" s="6"/>
      <c r="Q188" s="73"/>
    </row>
    <row r="189" ht="15.75" customHeight="1">
      <c r="A189" s="6"/>
      <c r="B189" s="6"/>
      <c r="Q189" s="73"/>
    </row>
    <row r="190" ht="15.75" customHeight="1">
      <c r="A190" s="6"/>
      <c r="B190" s="6"/>
      <c r="Q190" s="73"/>
    </row>
    <row r="191" ht="15.75" customHeight="1">
      <c r="A191" s="6"/>
      <c r="B191" s="6"/>
      <c r="Q191" s="73"/>
    </row>
    <row r="192" ht="15.75" customHeight="1">
      <c r="A192" s="6"/>
      <c r="B192" s="6"/>
      <c r="Q192" s="73"/>
    </row>
    <row r="193" ht="15.75" customHeight="1">
      <c r="A193" s="6"/>
      <c r="B193" s="6"/>
      <c r="Q193" s="73"/>
    </row>
    <row r="194" ht="15.75" customHeight="1">
      <c r="A194" s="6"/>
      <c r="B194" s="6"/>
      <c r="Q194" s="73"/>
    </row>
    <row r="195" ht="15.75" customHeight="1">
      <c r="A195" s="6"/>
      <c r="B195" s="6"/>
      <c r="Q195" s="73"/>
    </row>
    <row r="196" ht="15.75" customHeight="1">
      <c r="A196" s="6"/>
      <c r="B196" s="6"/>
      <c r="Q196" s="73"/>
    </row>
    <row r="197" ht="15.75" customHeight="1">
      <c r="A197" s="6"/>
      <c r="B197" s="6"/>
      <c r="Q197" s="73"/>
    </row>
    <row r="198" ht="15.75" customHeight="1">
      <c r="A198" s="6"/>
      <c r="B198" s="6"/>
      <c r="Q198" s="73"/>
    </row>
    <row r="199" ht="15.75" customHeight="1">
      <c r="A199" s="6"/>
      <c r="B199" s="6"/>
      <c r="Q199" s="73"/>
    </row>
    <row r="200" ht="15.75" customHeight="1">
      <c r="A200" s="6"/>
      <c r="B200" s="6"/>
      <c r="Q200" s="73"/>
    </row>
    <row r="201" ht="15.75" customHeight="1">
      <c r="A201" s="6"/>
      <c r="B201" s="6"/>
      <c r="Q201" s="73"/>
    </row>
    <row r="202" ht="15.75" customHeight="1">
      <c r="A202" s="6"/>
      <c r="B202" s="6"/>
      <c r="Q202" s="73"/>
    </row>
    <row r="203" ht="15.75" customHeight="1">
      <c r="A203" s="6"/>
      <c r="B203" s="6"/>
      <c r="Q203" s="73"/>
    </row>
    <row r="204" ht="15.75" customHeight="1">
      <c r="A204" s="6"/>
      <c r="B204" s="6"/>
      <c r="Q204" s="73"/>
    </row>
    <row r="205" ht="15.75" customHeight="1">
      <c r="A205" s="6"/>
      <c r="B205" s="6"/>
      <c r="Q205" s="73"/>
    </row>
    <row r="206" ht="15.75" customHeight="1">
      <c r="A206" s="6"/>
      <c r="B206" s="6"/>
      <c r="Q206" s="73"/>
    </row>
    <row r="207" ht="15.75" customHeight="1">
      <c r="A207" s="6"/>
      <c r="B207" s="6"/>
      <c r="Q207" s="73"/>
    </row>
    <row r="208" ht="15.75" customHeight="1">
      <c r="A208" s="6"/>
      <c r="B208" s="6"/>
      <c r="Q208" s="73"/>
    </row>
    <row r="209" ht="15.75" customHeight="1">
      <c r="A209" s="6"/>
      <c r="B209" s="6"/>
      <c r="Q209" s="73"/>
    </row>
    <row r="210" ht="15.75" customHeight="1">
      <c r="A210" s="6"/>
      <c r="B210" s="6"/>
      <c r="Q210" s="73"/>
    </row>
    <row r="211" ht="15.75" customHeight="1">
      <c r="A211" s="6"/>
      <c r="B211" s="6"/>
      <c r="Q211" s="73"/>
    </row>
    <row r="212" ht="15.75" customHeight="1">
      <c r="A212" s="6"/>
      <c r="B212" s="6"/>
      <c r="Q212" s="73"/>
    </row>
    <row r="213" ht="15.75" customHeight="1">
      <c r="A213" s="6"/>
      <c r="B213" s="6"/>
      <c r="Q213" s="73"/>
    </row>
    <row r="214" ht="15.75" customHeight="1">
      <c r="A214" s="6"/>
      <c r="B214" s="6"/>
      <c r="Q214" s="73"/>
    </row>
    <row r="215" ht="15.75" customHeight="1">
      <c r="A215" s="6"/>
      <c r="B215" s="6"/>
      <c r="Q215" s="73"/>
    </row>
    <row r="216" ht="15.75" customHeight="1">
      <c r="A216" s="6"/>
      <c r="B216" s="6"/>
      <c r="Q216" s="73"/>
    </row>
    <row r="217" ht="15.75" customHeight="1">
      <c r="A217" s="6"/>
      <c r="B217" s="6"/>
      <c r="Q217" s="73"/>
    </row>
    <row r="218" ht="15.75" customHeight="1">
      <c r="A218" s="6"/>
      <c r="B218" s="6"/>
      <c r="Q218" s="73"/>
    </row>
    <row r="219" ht="15.75" customHeight="1">
      <c r="A219" s="6"/>
      <c r="B219" s="6"/>
      <c r="Q219" s="73"/>
    </row>
    <row r="220" ht="15.75" customHeight="1">
      <c r="A220" s="6"/>
      <c r="B220" s="6"/>
      <c r="Q220" s="73"/>
    </row>
    <row r="221" ht="15.75" customHeight="1">
      <c r="A221" s="6"/>
      <c r="B221" s="6"/>
      <c r="Q221" s="73"/>
    </row>
    <row r="222" ht="15.75" customHeight="1">
      <c r="A222" s="6"/>
      <c r="B222" s="6"/>
      <c r="Q222" s="73"/>
    </row>
    <row r="223" ht="15.75" customHeight="1">
      <c r="A223" s="6"/>
      <c r="B223" s="6"/>
      <c r="Q223" s="73"/>
    </row>
    <row r="224" ht="15.75" customHeight="1">
      <c r="A224" s="6"/>
      <c r="B224" s="6"/>
      <c r="Q224" s="73"/>
    </row>
    <row r="225" ht="15.75" customHeight="1">
      <c r="A225" s="6"/>
      <c r="B225" s="6"/>
      <c r="Q225" s="73"/>
    </row>
    <row r="226" ht="15.75" customHeight="1">
      <c r="A226" s="6"/>
      <c r="B226" s="6"/>
      <c r="Q226" s="73"/>
    </row>
    <row r="227" ht="15.75" customHeight="1">
      <c r="A227" s="6"/>
      <c r="B227" s="6"/>
      <c r="Q227" s="73"/>
    </row>
    <row r="228" ht="15.75" customHeight="1">
      <c r="A228" s="6"/>
      <c r="B228" s="6"/>
      <c r="Q228" s="73"/>
    </row>
    <row r="229" ht="15.75" customHeight="1">
      <c r="A229" s="6"/>
      <c r="B229" s="6"/>
      <c r="Q229" s="73"/>
    </row>
    <row r="230" ht="15.75" customHeight="1">
      <c r="A230" s="6"/>
      <c r="B230" s="6"/>
      <c r="Q230" s="73"/>
    </row>
    <row r="231" ht="15.75" customHeight="1">
      <c r="A231" s="6"/>
      <c r="B231" s="6"/>
      <c r="Q231" s="73"/>
    </row>
    <row r="232" ht="15.75" customHeight="1">
      <c r="A232" s="6"/>
      <c r="B232" s="6"/>
      <c r="Q232" s="73"/>
    </row>
    <row r="233" ht="15.75" customHeight="1">
      <c r="A233" s="6"/>
      <c r="B233" s="6"/>
      <c r="Q233" s="73"/>
    </row>
    <row r="234" ht="15.75" customHeight="1">
      <c r="A234" s="6"/>
      <c r="B234" s="6"/>
      <c r="Q234" s="73"/>
    </row>
    <row r="235" ht="15.75" customHeight="1">
      <c r="A235" s="6"/>
      <c r="B235" s="6"/>
      <c r="Q235" s="73"/>
    </row>
    <row r="236" ht="15.75" customHeight="1">
      <c r="A236" s="6"/>
      <c r="B236" s="6"/>
      <c r="Q236" s="73"/>
    </row>
    <row r="237" ht="15.75" customHeight="1">
      <c r="A237" s="6"/>
      <c r="B237" s="6"/>
      <c r="Q237" s="73"/>
    </row>
    <row r="238" ht="15.75" customHeight="1">
      <c r="A238" s="6"/>
      <c r="B238" s="6"/>
      <c r="Q238" s="73"/>
    </row>
    <row r="239" ht="15.75" customHeight="1">
      <c r="A239" s="6"/>
      <c r="B239" s="6"/>
      <c r="Q239" s="73"/>
    </row>
    <row r="240" ht="15.75" customHeight="1">
      <c r="A240" s="6"/>
      <c r="B240" s="6"/>
      <c r="Q240" s="73"/>
    </row>
    <row r="241" ht="15.75" customHeight="1">
      <c r="A241" s="6"/>
      <c r="B241" s="6"/>
      <c r="Q241" s="73"/>
    </row>
    <row r="242" ht="15.75" customHeight="1">
      <c r="A242" s="6"/>
      <c r="B242" s="6"/>
      <c r="Q242" s="73"/>
    </row>
    <row r="243" ht="15.75" customHeight="1">
      <c r="A243" s="6"/>
      <c r="B243" s="6"/>
      <c r="Q243" s="73"/>
    </row>
    <row r="244" ht="15.75" customHeight="1">
      <c r="A244" s="6"/>
      <c r="B244" s="6"/>
      <c r="Q244" s="73"/>
    </row>
    <row r="245" ht="15.75" customHeight="1">
      <c r="A245" s="6"/>
      <c r="B245" s="6"/>
      <c r="Q245" s="73"/>
    </row>
    <row r="246" ht="15.75" customHeight="1">
      <c r="A246" s="6"/>
      <c r="B246" s="6"/>
      <c r="Q246" s="73"/>
    </row>
    <row r="247" ht="15.75" customHeight="1">
      <c r="A247" s="6"/>
      <c r="B247" s="6"/>
      <c r="Q247" s="73"/>
    </row>
    <row r="248" ht="15.75" customHeight="1">
      <c r="A248" s="6"/>
      <c r="B248" s="6"/>
      <c r="Q248" s="73"/>
    </row>
    <row r="249" ht="15.75" customHeight="1">
      <c r="A249" s="6"/>
      <c r="B249" s="6"/>
      <c r="Q249" s="73"/>
    </row>
    <row r="250" ht="15.75" customHeight="1">
      <c r="A250" s="6"/>
      <c r="B250" s="6"/>
      <c r="Q250" s="73"/>
    </row>
    <row r="251" ht="15.75" customHeight="1">
      <c r="A251" s="6"/>
      <c r="B251" s="6"/>
      <c r="Q251" s="73"/>
    </row>
    <row r="252" ht="15.75" customHeight="1">
      <c r="A252" s="6"/>
      <c r="B252" s="6"/>
      <c r="Q252" s="73"/>
    </row>
    <row r="253" ht="15.75" customHeight="1">
      <c r="A253" s="6"/>
      <c r="B253" s="6"/>
      <c r="Q253" s="73"/>
    </row>
    <row r="254" ht="15.75" customHeight="1">
      <c r="A254" s="6"/>
      <c r="B254" s="6"/>
      <c r="Q254" s="73"/>
    </row>
    <row r="255" ht="15.75" customHeight="1">
      <c r="A255" s="6"/>
      <c r="B255" s="6"/>
      <c r="Q255" s="73"/>
    </row>
    <row r="256" ht="15.75" customHeight="1">
      <c r="A256" s="6"/>
      <c r="B256" s="6"/>
      <c r="Q256" s="73"/>
    </row>
    <row r="257" ht="15.75" customHeight="1">
      <c r="A257" s="6"/>
      <c r="B257" s="6"/>
      <c r="Q257" s="73"/>
    </row>
    <row r="258" ht="15.75" customHeight="1">
      <c r="A258" s="6"/>
      <c r="B258" s="6"/>
      <c r="Q258" s="73"/>
    </row>
    <row r="259" ht="15.75" customHeight="1">
      <c r="A259" s="6"/>
      <c r="B259" s="6"/>
      <c r="Q259" s="73"/>
    </row>
    <row r="260" ht="15.75" customHeight="1">
      <c r="A260" s="6"/>
      <c r="B260" s="6"/>
      <c r="Q260" s="73"/>
    </row>
    <row r="261" ht="15.75" customHeight="1">
      <c r="A261" s="6"/>
      <c r="B261" s="6"/>
      <c r="Q261" s="73"/>
    </row>
    <row r="262" ht="15.75" customHeight="1">
      <c r="A262" s="6"/>
      <c r="B262" s="6"/>
      <c r="Q262" s="73"/>
    </row>
    <row r="263" ht="15.75" customHeight="1">
      <c r="A263" s="6"/>
      <c r="B263" s="6"/>
      <c r="Q263" s="73"/>
    </row>
    <row r="264" ht="15.75" customHeight="1">
      <c r="A264" s="6"/>
      <c r="B264" s="6"/>
      <c r="Q264" s="73"/>
    </row>
    <row r="265" ht="15.75" customHeight="1">
      <c r="A265" s="6"/>
      <c r="B265" s="6"/>
      <c r="Q265" s="73"/>
    </row>
    <row r="266" ht="15.75" customHeight="1">
      <c r="A266" s="6"/>
      <c r="B266" s="6"/>
      <c r="Q266" s="73"/>
    </row>
    <row r="267" ht="15.75" customHeight="1">
      <c r="A267" s="6"/>
      <c r="B267" s="6"/>
      <c r="Q267" s="73"/>
    </row>
    <row r="268" ht="15.75" customHeight="1">
      <c r="A268" s="6"/>
      <c r="B268" s="6"/>
      <c r="Q268" s="73"/>
    </row>
    <row r="269" ht="15.75" customHeight="1">
      <c r="A269" s="6"/>
      <c r="B269" s="6"/>
      <c r="Q269" s="73"/>
    </row>
    <row r="270" ht="15.75" customHeight="1">
      <c r="A270" s="6"/>
      <c r="B270" s="6"/>
      <c r="Q270" s="73"/>
    </row>
    <row r="271" ht="15.75" customHeight="1">
      <c r="A271" s="6"/>
      <c r="B271" s="6"/>
      <c r="Q271" s="73"/>
    </row>
    <row r="272" ht="15.75" customHeight="1">
      <c r="A272" s="6"/>
      <c r="B272" s="6"/>
      <c r="Q272" s="73"/>
    </row>
    <row r="273" ht="15.75" customHeight="1">
      <c r="A273" s="6"/>
      <c r="B273" s="6"/>
      <c r="Q273" s="73"/>
    </row>
    <row r="274" ht="15.75" customHeight="1">
      <c r="A274" s="6"/>
      <c r="B274" s="6"/>
      <c r="Q274" s="73"/>
    </row>
    <row r="275" ht="15.75" customHeight="1">
      <c r="A275" s="6"/>
      <c r="B275" s="6"/>
      <c r="Q275" s="73"/>
    </row>
    <row r="276" ht="15.75" customHeight="1">
      <c r="A276" s="6"/>
      <c r="B276" s="6"/>
      <c r="Q276" s="73"/>
    </row>
    <row r="277" ht="15.75" customHeight="1">
      <c r="A277" s="6"/>
      <c r="B277" s="6"/>
      <c r="Q277" s="73"/>
    </row>
    <row r="278" ht="15.75" customHeight="1">
      <c r="A278" s="6"/>
      <c r="B278" s="6"/>
      <c r="Q278" s="73"/>
    </row>
    <row r="279" ht="15.75" customHeight="1">
      <c r="A279" s="6"/>
      <c r="B279" s="6"/>
      <c r="Q279" s="73"/>
    </row>
    <row r="280" ht="15.75" customHeight="1">
      <c r="A280" s="6"/>
      <c r="B280" s="6"/>
      <c r="Q280" s="73"/>
    </row>
    <row r="281" ht="15.75" customHeight="1">
      <c r="A281" s="6"/>
      <c r="B281" s="6"/>
      <c r="Q281" s="73"/>
    </row>
    <row r="282" ht="15.75" customHeight="1">
      <c r="A282" s="6"/>
      <c r="B282" s="6"/>
      <c r="Q282" s="73"/>
    </row>
    <row r="283" ht="15.75" customHeight="1">
      <c r="A283" s="6"/>
      <c r="B283" s="6"/>
      <c r="Q283" s="73"/>
    </row>
    <row r="284" ht="15.75" customHeight="1">
      <c r="A284" s="6"/>
      <c r="B284" s="6"/>
      <c r="Q284" s="73"/>
    </row>
    <row r="285" ht="15.75" customHeight="1">
      <c r="A285" s="6"/>
      <c r="B285" s="6"/>
      <c r="Q285" s="73"/>
    </row>
    <row r="286" ht="15.75" customHeight="1">
      <c r="A286" s="6"/>
      <c r="B286" s="6"/>
      <c r="Q286" s="73"/>
    </row>
    <row r="287" ht="15.75" customHeight="1">
      <c r="A287" s="6"/>
      <c r="B287" s="6"/>
      <c r="Q287" s="73"/>
    </row>
    <row r="288" ht="15.75" customHeight="1">
      <c r="A288" s="6"/>
      <c r="B288" s="6"/>
      <c r="Q288" s="73"/>
    </row>
    <row r="289" ht="15.75" customHeight="1">
      <c r="A289" s="6"/>
      <c r="B289" s="6"/>
      <c r="Q289" s="73"/>
    </row>
    <row r="290" ht="15.75" customHeight="1">
      <c r="A290" s="6"/>
      <c r="B290" s="6"/>
      <c r="Q290" s="73"/>
    </row>
    <row r="291" ht="15.75" customHeight="1">
      <c r="A291" s="6"/>
      <c r="B291" s="6"/>
      <c r="Q291" s="73"/>
    </row>
    <row r="292" ht="15.75" customHeight="1">
      <c r="A292" s="6"/>
      <c r="B292" s="6"/>
      <c r="Q292" s="73"/>
    </row>
    <row r="293" ht="15.75" customHeight="1">
      <c r="A293" s="6"/>
      <c r="B293" s="6"/>
      <c r="Q293" s="73"/>
    </row>
    <row r="294" ht="15.75" customHeight="1">
      <c r="A294" s="6"/>
      <c r="B294" s="6"/>
      <c r="Q294" s="73"/>
    </row>
    <row r="295" ht="15.75" customHeight="1">
      <c r="A295" s="6"/>
      <c r="B295" s="6"/>
      <c r="Q295" s="73"/>
    </row>
    <row r="296" ht="15.75" customHeight="1">
      <c r="A296" s="6"/>
      <c r="B296" s="6"/>
      <c r="Q296" s="73"/>
    </row>
    <row r="297" ht="15.75" customHeight="1">
      <c r="A297" s="6"/>
      <c r="B297" s="6"/>
      <c r="Q297" s="73"/>
    </row>
    <row r="298" ht="15.75" customHeight="1">
      <c r="A298" s="6"/>
      <c r="B298" s="6"/>
      <c r="Q298" s="73"/>
    </row>
    <row r="299" ht="15.75" customHeight="1">
      <c r="A299" s="6"/>
      <c r="B299" s="6"/>
      <c r="Q299" s="73"/>
    </row>
    <row r="300" ht="15.75" customHeight="1">
      <c r="A300" s="6"/>
      <c r="B300" s="6"/>
      <c r="Q300" s="73"/>
    </row>
    <row r="301" ht="15.75" customHeight="1">
      <c r="A301" s="6"/>
      <c r="B301" s="6"/>
      <c r="Q301" s="73"/>
    </row>
    <row r="302" ht="15.75" customHeight="1">
      <c r="A302" s="6"/>
      <c r="B302" s="6"/>
      <c r="Q302" s="73"/>
    </row>
    <row r="303" ht="15.75" customHeight="1">
      <c r="A303" s="6"/>
      <c r="B303" s="6"/>
      <c r="Q303" s="73"/>
    </row>
    <row r="304" ht="15.75" customHeight="1">
      <c r="A304" s="6"/>
      <c r="B304" s="6"/>
      <c r="Q304" s="73"/>
    </row>
    <row r="305" ht="15.75" customHeight="1">
      <c r="A305" s="6"/>
      <c r="B305" s="6"/>
      <c r="Q305" s="73"/>
    </row>
    <row r="306" ht="15.75" customHeight="1">
      <c r="A306" s="6"/>
      <c r="B306" s="6"/>
      <c r="Q306" s="73"/>
    </row>
    <row r="307" ht="15.75" customHeight="1">
      <c r="A307" s="6"/>
      <c r="B307" s="6"/>
      <c r="Q307" s="73"/>
    </row>
    <row r="308" ht="15.75" customHeight="1">
      <c r="A308" s="6"/>
      <c r="B308" s="6"/>
      <c r="Q308" s="73"/>
    </row>
    <row r="309" ht="15.75" customHeight="1">
      <c r="A309" s="6"/>
      <c r="B309" s="6"/>
      <c r="Q309" s="73"/>
    </row>
    <row r="310" ht="15.75" customHeight="1">
      <c r="A310" s="6"/>
      <c r="B310" s="6"/>
      <c r="Q310" s="73"/>
    </row>
    <row r="311" ht="15.75" customHeight="1">
      <c r="A311" s="6"/>
      <c r="B311" s="6"/>
      <c r="Q311" s="73"/>
    </row>
    <row r="312" ht="15.75" customHeight="1">
      <c r="A312" s="6"/>
      <c r="B312" s="6"/>
      <c r="Q312" s="73"/>
    </row>
    <row r="313" ht="15.75" customHeight="1">
      <c r="A313" s="6"/>
      <c r="B313" s="6"/>
      <c r="Q313" s="73"/>
    </row>
    <row r="314" ht="15.75" customHeight="1">
      <c r="A314" s="6"/>
      <c r="B314" s="6"/>
      <c r="Q314" s="73"/>
    </row>
    <row r="315" ht="15.75" customHeight="1">
      <c r="A315" s="6"/>
      <c r="B315" s="6"/>
      <c r="Q315" s="73"/>
    </row>
    <row r="316" ht="15.75" customHeight="1">
      <c r="A316" s="6"/>
      <c r="B316" s="6"/>
      <c r="Q316" s="73"/>
    </row>
    <row r="317" ht="15.75" customHeight="1">
      <c r="A317" s="6"/>
      <c r="B317" s="6"/>
      <c r="Q317" s="73"/>
    </row>
    <row r="318" ht="15.75" customHeight="1">
      <c r="A318" s="6"/>
      <c r="B318" s="6"/>
      <c r="Q318" s="73"/>
    </row>
    <row r="319" ht="15.75" customHeight="1">
      <c r="A319" s="6"/>
      <c r="B319" s="6"/>
      <c r="Q319" s="73"/>
    </row>
    <row r="320" ht="15.75" customHeight="1">
      <c r="A320" s="6"/>
      <c r="B320" s="6"/>
      <c r="Q320" s="73"/>
    </row>
    <row r="321" ht="15.75" customHeight="1">
      <c r="A321" s="6"/>
      <c r="B321" s="6"/>
      <c r="Q321" s="73"/>
    </row>
    <row r="322" ht="15.75" customHeight="1">
      <c r="A322" s="6"/>
      <c r="B322" s="6"/>
      <c r="Q322" s="73"/>
    </row>
    <row r="323" ht="15.75" customHeight="1">
      <c r="A323" s="6"/>
      <c r="B323" s="6"/>
      <c r="Q323" s="73"/>
    </row>
    <row r="324" ht="15.75" customHeight="1">
      <c r="A324" s="6"/>
      <c r="B324" s="6"/>
      <c r="Q324" s="73"/>
    </row>
    <row r="325" ht="15.75" customHeight="1">
      <c r="A325" s="6"/>
      <c r="B325" s="6"/>
      <c r="Q325" s="73"/>
    </row>
    <row r="326" ht="15.75" customHeight="1">
      <c r="A326" s="6"/>
      <c r="B326" s="6"/>
      <c r="Q326" s="73"/>
    </row>
    <row r="327" ht="15.75" customHeight="1">
      <c r="A327" s="6"/>
      <c r="B327" s="6"/>
      <c r="Q327" s="73"/>
    </row>
    <row r="328" ht="15.75" customHeight="1">
      <c r="A328" s="6"/>
      <c r="B328" s="6"/>
      <c r="Q328" s="73"/>
    </row>
    <row r="329" ht="15.75" customHeight="1">
      <c r="A329" s="6"/>
      <c r="B329" s="6"/>
      <c r="Q329" s="73"/>
    </row>
    <row r="330" ht="15.75" customHeight="1">
      <c r="A330" s="6"/>
      <c r="B330" s="6"/>
      <c r="Q330" s="73"/>
    </row>
    <row r="331" ht="15.75" customHeight="1">
      <c r="A331" s="6"/>
      <c r="B331" s="6"/>
      <c r="Q331" s="73"/>
    </row>
    <row r="332" ht="15.75" customHeight="1">
      <c r="A332" s="6"/>
      <c r="B332" s="6"/>
      <c r="Q332" s="73"/>
    </row>
    <row r="333" ht="15.75" customHeight="1">
      <c r="A333" s="6"/>
      <c r="B333" s="6"/>
      <c r="Q333" s="73"/>
    </row>
    <row r="334" ht="15.75" customHeight="1">
      <c r="A334" s="6"/>
      <c r="B334" s="6"/>
      <c r="Q334" s="73"/>
    </row>
    <row r="335" ht="15.75" customHeight="1">
      <c r="A335" s="6"/>
      <c r="B335" s="6"/>
      <c r="Q335" s="73"/>
    </row>
    <row r="336" ht="15.75" customHeight="1">
      <c r="A336" s="6"/>
      <c r="B336" s="6"/>
      <c r="Q336" s="73"/>
    </row>
    <row r="337" ht="15.75" customHeight="1">
      <c r="A337" s="6"/>
      <c r="B337" s="6"/>
      <c r="Q337" s="73"/>
    </row>
    <row r="338" ht="15.75" customHeight="1">
      <c r="A338" s="6"/>
      <c r="B338" s="6"/>
      <c r="Q338" s="73"/>
    </row>
    <row r="339" ht="15.75" customHeight="1">
      <c r="A339" s="6"/>
      <c r="B339" s="6"/>
      <c r="Q339" s="73"/>
    </row>
    <row r="340" ht="15.75" customHeight="1">
      <c r="A340" s="6"/>
      <c r="B340" s="6"/>
      <c r="Q340" s="73"/>
    </row>
    <row r="341" ht="15.75" customHeight="1">
      <c r="A341" s="6"/>
      <c r="B341" s="6"/>
      <c r="Q341" s="73"/>
    </row>
    <row r="342" ht="15.75" customHeight="1">
      <c r="A342" s="6"/>
      <c r="B342" s="6"/>
      <c r="Q342" s="73"/>
    </row>
    <row r="343" ht="15.75" customHeight="1">
      <c r="A343" s="6"/>
      <c r="B343" s="6"/>
      <c r="Q343" s="73"/>
    </row>
    <row r="344" ht="15.75" customHeight="1">
      <c r="A344" s="6"/>
      <c r="B344" s="6"/>
      <c r="Q344" s="73"/>
    </row>
    <row r="345" ht="15.75" customHeight="1">
      <c r="A345" s="6"/>
      <c r="B345" s="6"/>
      <c r="Q345" s="73"/>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93:K9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2"/>
  <cols>
    <col customWidth="1" min="1" max="2" width="9.86"/>
    <col customWidth="1" min="3" max="4" width="7.43"/>
    <col customWidth="1" min="5" max="5" width="51.29"/>
    <col customWidth="1" min="6" max="6" width="14.43"/>
    <col customWidth="1" min="9" max="9" width="6.29"/>
  </cols>
  <sheetData>
    <row r="1" ht="15.75" customHeight="1">
      <c r="A1" s="72">
        <v>43952.0</v>
      </c>
      <c r="B1" s="74"/>
      <c r="C1" s="75"/>
      <c r="D1" s="75"/>
      <c r="E1" s="75"/>
    </row>
    <row r="2" ht="15.75" customHeight="1">
      <c r="A2" s="75"/>
      <c r="B2" s="74"/>
      <c r="C2" s="75"/>
      <c r="D2" s="75"/>
      <c r="E2" s="75"/>
    </row>
    <row r="3" ht="15.75" customHeight="1">
      <c r="A3" s="75"/>
      <c r="B3" s="74" t="s">
        <v>418</v>
      </c>
      <c r="C3" s="75"/>
      <c r="D3" s="75"/>
      <c r="E3" s="75"/>
    </row>
    <row r="4" ht="15.75" customHeight="1">
      <c r="A4" s="75"/>
      <c r="B4" s="74"/>
      <c r="C4" s="75" t="s">
        <v>420</v>
      </c>
      <c r="D4" s="75"/>
      <c r="E4" s="75"/>
    </row>
    <row r="5" ht="15.75" customHeight="1">
      <c r="A5" s="75"/>
      <c r="B5" s="74"/>
      <c r="C5" s="75"/>
      <c r="D5" s="75" t="s">
        <v>421</v>
      </c>
      <c r="E5" s="75"/>
    </row>
    <row r="6" ht="15.75" customHeight="1">
      <c r="A6" s="75"/>
      <c r="B6" s="74"/>
      <c r="C6" s="75"/>
      <c r="D6" s="75"/>
      <c r="E6" s="75"/>
    </row>
    <row r="7" ht="15.75" customHeight="1">
      <c r="A7" s="75"/>
      <c r="B7" s="74" t="s">
        <v>424</v>
      </c>
      <c r="C7" s="75"/>
      <c r="D7" s="75"/>
      <c r="E7" s="75"/>
    </row>
    <row r="8" ht="15.75" customHeight="1">
      <c r="A8" s="75"/>
      <c r="B8" s="74"/>
      <c r="C8" s="75" t="s">
        <v>426</v>
      </c>
      <c r="D8" s="75"/>
      <c r="E8" s="75"/>
    </row>
    <row r="9" ht="15.75" customHeight="1">
      <c r="A9" s="75"/>
      <c r="B9" s="74"/>
      <c r="C9" s="75"/>
      <c r="D9" s="75" t="s">
        <v>428</v>
      </c>
      <c r="E9" s="75"/>
    </row>
    <row r="10" ht="15.75" customHeight="1">
      <c r="A10" s="75"/>
      <c r="B10" s="74"/>
      <c r="C10" s="75"/>
      <c r="D10" s="75" t="s">
        <v>430</v>
      </c>
      <c r="E10" s="75"/>
    </row>
    <row r="11" ht="15.75" customHeight="1">
      <c r="A11" s="75"/>
      <c r="B11" s="74"/>
      <c r="C11" s="75"/>
      <c r="D11" s="75"/>
      <c r="E11" s="75"/>
    </row>
    <row r="12" ht="15.75" customHeight="1">
      <c r="A12" s="74" t="s">
        <v>433</v>
      </c>
      <c r="B12" s="6" t="s">
        <v>436</v>
      </c>
      <c r="C12" s="74" t="s">
        <v>437</v>
      </c>
      <c r="D12" s="75"/>
      <c r="E12" s="75"/>
      <c r="F12" s="6" t="s">
        <v>440</v>
      </c>
      <c r="G12" s="9" t="s">
        <v>442</v>
      </c>
      <c r="H12" s="9" t="s">
        <v>443</v>
      </c>
      <c r="I12" s="6"/>
      <c r="J12" s="6" t="s">
        <v>445</v>
      </c>
    </row>
    <row r="13" ht="15.75" customHeight="1">
      <c r="A13" s="76" t="s">
        <v>447</v>
      </c>
      <c r="B13" s="76" t="s">
        <v>449</v>
      </c>
      <c r="C13" s="75" t="s">
        <v>451</v>
      </c>
      <c r="D13" s="75"/>
      <c r="E13" s="75"/>
      <c r="F13" s="15" t="s">
        <v>454</v>
      </c>
      <c r="G13" s="15">
        <v>10.0</v>
      </c>
      <c r="H13" s="15">
        <v>9.0</v>
      </c>
      <c r="J13" s="15" t="s">
        <v>455</v>
      </c>
    </row>
    <row r="14" ht="15.75" customHeight="1">
      <c r="A14" s="76" t="s">
        <v>456</v>
      </c>
      <c r="B14" s="76" t="s">
        <v>457</v>
      </c>
      <c r="C14" s="75" t="s">
        <v>458</v>
      </c>
      <c r="D14" s="75"/>
      <c r="E14" s="75"/>
      <c r="F14" s="15" t="s">
        <v>454</v>
      </c>
      <c r="G14" s="15">
        <v>10.0</v>
      </c>
      <c r="H14" s="15">
        <v>9.0</v>
      </c>
      <c r="I14" s="15"/>
      <c r="J14" s="15" t="s">
        <v>459</v>
      </c>
    </row>
    <row r="15" ht="15.75" customHeight="1">
      <c r="A15" s="76"/>
      <c r="B15" s="76" t="s">
        <v>461</v>
      </c>
      <c r="C15" s="75" t="s">
        <v>462</v>
      </c>
      <c r="D15" s="75"/>
      <c r="E15" s="75"/>
      <c r="F15" s="15" t="s">
        <v>454</v>
      </c>
      <c r="G15" s="15">
        <v>10.0</v>
      </c>
      <c r="H15" s="15">
        <v>9.0</v>
      </c>
      <c r="I15" s="15"/>
      <c r="J15" s="15" t="s">
        <v>464</v>
      </c>
    </row>
    <row r="16" ht="15.75" customHeight="1">
      <c r="A16" s="76"/>
      <c r="B16" s="76" t="s">
        <v>465</v>
      </c>
      <c r="C16" s="75" t="s">
        <v>466</v>
      </c>
      <c r="D16" s="75"/>
      <c r="E16" s="75"/>
      <c r="F16" s="15" t="s">
        <v>454</v>
      </c>
      <c r="G16" s="15">
        <v>8.0</v>
      </c>
      <c r="H16" s="15">
        <v>8.0</v>
      </c>
      <c r="J16" s="15" t="s">
        <v>468</v>
      </c>
    </row>
    <row r="17" ht="15.75" customHeight="1">
      <c r="A17" s="76"/>
      <c r="B17" s="76" t="s">
        <v>449</v>
      </c>
      <c r="C17" s="75" t="s">
        <v>469</v>
      </c>
      <c r="D17" s="75"/>
      <c r="E17" s="75"/>
      <c r="F17" s="15" t="s">
        <v>454</v>
      </c>
      <c r="G17" s="15">
        <v>8.0</v>
      </c>
      <c r="H17" s="15">
        <v>8.0</v>
      </c>
      <c r="I17" s="15"/>
      <c r="J17" s="15" t="s">
        <v>470</v>
      </c>
    </row>
    <row r="18" ht="15.75" customHeight="1">
      <c r="A18" s="76"/>
      <c r="B18" s="76"/>
      <c r="C18" s="75"/>
      <c r="D18" s="75"/>
      <c r="E18" s="75"/>
      <c r="F18" s="15"/>
      <c r="G18" s="15"/>
      <c r="H18" s="15"/>
      <c r="I18" s="15"/>
      <c r="J18" s="15"/>
    </row>
    <row r="19" ht="15.75" customHeight="1">
      <c r="A19" s="76"/>
      <c r="B19" s="76" t="s">
        <v>472</v>
      </c>
      <c r="C19" s="82" t="s">
        <v>473</v>
      </c>
      <c r="D19" s="75"/>
      <c r="E19" s="75"/>
      <c r="F19" s="15" t="s">
        <v>474</v>
      </c>
      <c r="G19" s="15">
        <v>8.0</v>
      </c>
      <c r="H19" s="15">
        <v>5.0</v>
      </c>
      <c r="I19" s="15"/>
      <c r="J19" s="15" t="s">
        <v>476</v>
      </c>
      <c r="O19" s="28" t="s">
        <v>477</v>
      </c>
    </row>
    <row r="20" ht="15.75" customHeight="1">
      <c r="A20" s="76" t="s">
        <v>449</v>
      </c>
      <c r="B20" s="76" t="s">
        <v>478</v>
      </c>
      <c r="C20" s="75" t="s">
        <v>479</v>
      </c>
      <c r="D20" s="75"/>
      <c r="E20" s="75"/>
      <c r="F20" s="15" t="s">
        <v>474</v>
      </c>
      <c r="G20" s="15">
        <v>6.0</v>
      </c>
      <c r="H20" s="15">
        <v>2.0</v>
      </c>
      <c r="I20" s="15"/>
      <c r="J20" s="15" t="s">
        <v>480</v>
      </c>
      <c r="O20" s="28" t="s">
        <v>481</v>
      </c>
    </row>
    <row r="21" ht="15.75" customHeight="1">
      <c r="A21" s="76" t="s">
        <v>449</v>
      </c>
      <c r="B21" s="76" t="s">
        <v>478</v>
      </c>
      <c r="C21" s="75" t="s">
        <v>483</v>
      </c>
      <c r="D21" s="75"/>
      <c r="E21" s="75"/>
      <c r="F21" s="15" t="s">
        <v>474</v>
      </c>
      <c r="G21" s="15">
        <v>6.0</v>
      </c>
      <c r="H21" s="15">
        <v>1.0</v>
      </c>
      <c r="I21" s="15"/>
      <c r="J21" s="15" t="s">
        <v>488</v>
      </c>
      <c r="O21" s="15" t="s">
        <v>489</v>
      </c>
    </row>
    <row r="22" ht="15.75" customHeight="1">
      <c r="A22" s="76" t="s">
        <v>447</v>
      </c>
      <c r="B22" s="76" t="s">
        <v>492</v>
      </c>
      <c r="C22" s="82" t="s">
        <v>494</v>
      </c>
      <c r="D22" s="75"/>
      <c r="E22" s="75"/>
      <c r="F22" s="15" t="s">
        <v>474</v>
      </c>
      <c r="G22" s="15">
        <v>8.0</v>
      </c>
      <c r="H22" s="15">
        <v>1.0</v>
      </c>
      <c r="I22" s="15"/>
      <c r="J22" s="15" t="s">
        <v>495</v>
      </c>
      <c r="O22" s="15" t="s">
        <v>496</v>
      </c>
    </row>
    <row r="23" ht="15.75" customHeight="1">
      <c r="A23" s="76"/>
      <c r="B23" s="76"/>
      <c r="C23" s="75"/>
      <c r="D23" s="75"/>
      <c r="E23" s="75"/>
    </row>
    <row r="24" ht="15.75" customHeight="1">
      <c r="A24" s="76"/>
      <c r="B24" s="76" t="s">
        <v>472</v>
      </c>
      <c r="C24" s="82" t="s">
        <v>498</v>
      </c>
      <c r="D24" s="75"/>
      <c r="E24" s="75"/>
      <c r="F24" s="15" t="s">
        <v>500</v>
      </c>
      <c r="G24" s="15">
        <v>10.0</v>
      </c>
      <c r="H24" s="15">
        <v>5.0</v>
      </c>
      <c r="I24" s="15"/>
      <c r="J24" s="15" t="s">
        <v>503</v>
      </c>
      <c r="O24" s="28" t="s">
        <v>504</v>
      </c>
    </row>
    <row r="25" ht="15.75" customHeight="1">
      <c r="A25" s="76" t="s">
        <v>21</v>
      </c>
      <c r="B25" s="76" t="s">
        <v>472</v>
      </c>
      <c r="C25" s="82" t="s">
        <v>506</v>
      </c>
      <c r="D25" s="75"/>
      <c r="E25" s="75"/>
      <c r="F25" s="15" t="s">
        <v>500</v>
      </c>
      <c r="G25" s="15">
        <v>10.0</v>
      </c>
      <c r="H25" s="15">
        <v>6.0</v>
      </c>
      <c r="I25" s="15"/>
      <c r="J25" s="15" t="s">
        <v>508</v>
      </c>
      <c r="O25" s="28" t="s">
        <v>509</v>
      </c>
    </row>
    <row r="26" ht="15.75" customHeight="1">
      <c r="A26" s="76" t="s">
        <v>465</v>
      </c>
      <c r="B26" s="76" t="s">
        <v>478</v>
      </c>
      <c r="C26" s="75" t="s">
        <v>511</v>
      </c>
      <c r="D26" s="75"/>
      <c r="E26" s="75"/>
      <c r="F26" s="15" t="s">
        <v>500</v>
      </c>
      <c r="G26" s="15">
        <v>10.0</v>
      </c>
      <c r="H26" s="15">
        <v>5.0</v>
      </c>
      <c r="J26" s="15" t="s">
        <v>516</v>
      </c>
      <c r="O26" s="15" t="s">
        <v>517</v>
      </c>
    </row>
    <row r="27" ht="15.75" customHeight="1">
      <c r="A27" s="76" t="s">
        <v>518</v>
      </c>
      <c r="B27" s="76" t="s">
        <v>449</v>
      </c>
      <c r="C27" s="82" t="s">
        <v>520</v>
      </c>
      <c r="D27" s="75"/>
      <c r="E27" s="75"/>
      <c r="F27" s="15" t="s">
        <v>500</v>
      </c>
      <c r="G27" s="15">
        <v>8.0</v>
      </c>
      <c r="H27" s="15">
        <v>3.0</v>
      </c>
      <c r="J27" s="15" t="s">
        <v>523</v>
      </c>
      <c r="O27" s="15" t="s">
        <v>524</v>
      </c>
    </row>
    <row r="28" ht="15.75" customHeight="1">
      <c r="A28" s="76" t="s">
        <v>21</v>
      </c>
      <c r="B28" s="76" t="s">
        <v>465</v>
      </c>
      <c r="C28" s="75" t="s">
        <v>526</v>
      </c>
      <c r="D28" s="75"/>
      <c r="E28" s="75"/>
      <c r="F28" s="15" t="s">
        <v>500</v>
      </c>
      <c r="G28" s="15">
        <v>6.0</v>
      </c>
      <c r="H28" s="15">
        <v>5.0</v>
      </c>
      <c r="I28" s="15"/>
      <c r="J28" s="15" t="s">
        <v>528</v>
      </c>
      <c r="O28" s="15" t="s">
        <v>529</v>
      </c>
    </row>
    <row r="29" ht="15.75" customHeight="1">
      <c r="A29" s="76"/>
      <c r="B29" s="76" t="s">
        <v>465</v>
      </c>
      <c r="C29" s="75" t="s">
        <v>218</v>
      </c>
      <c r="D29" s="75"/>
      <c r="E29" s="75"/>
      <c r="F29" s="15" t="s">
        <v>500</v>
      </c>
      <c r="G29" s="15">
        <v>6.0</v>
      </c>
      <c r="H29" s="15">
        <v>5.0</v>
      </c>
      <c r="I29" s="15"/>
      <c r="J29" s="15" t="s">
        <v>532</v>
      </c>
      <c r="O29" s="15" t="s">
        <v>533</v>
      </c>
    </row>
    <row r="30" ht="15.75" customHeight="1">
      <c r="A30" s="76"/>
      <c r="B30" s="76" t="s">
        <v>449</v>
      </c>
      <c r="C30" s="75" t="s">
        <v>535</v>
      </c>
      <c r="D30" s="75"/>
      <c r="E30" s="75"/>
      <c r="F30" s="15" t="s">
        <v>500</v>
      </c>
      <c r="G30" s="15">
        <v>6.0</v>
      </c>
      <c r="H30" s="15">
        <v>1.0</v>
      </c>
      <c r="J30" s="15" t="s">
        <v>537</v>
      </c>
      <c r="O30" s="15" t="s">
        <v>538</v>
      </c>
    </row>
    <row r="31" ht="15.75" customHeight="1">
      <c r="A31" s="76"/>
      <c r="B31" s="76" t="s">
        <v>449</v>
      </c>
      <c r="C31" s="75" t="s">
        <v>540</v>
      </c>
      <c r="D31" s="75"/>
      <c r="E31" s="75"/>
      <c r="F31" s="15" t="s">
        <v>500</v>
      </c>
      <c r="G31" s="15">
        <v>4.0</v>
      </c>
      <c r="H31" s="15">
        <v>5.0</v>
      </c>
      <c r="J31" s="15" t="s">
        <v>543</v>
      </c>
      <c r="O31" s="15" t="s">
        <v>544</v>
      </c>
    </row>
    <row r="32" ht="15.75" customHeight="1">
      <c r="A32" s="76"/>
      <c r="B32" s="76"/>
      <c r="D32" s="75"/>
      <c r="E32" s="75"/>
    </row>
    <row r="33" ht="15.75" customHeight="1">
      <c r="A33" s="76" t="s">
        <v>21</v>
      </c>
      <c r="B33" s="76" t="s">
        <v>457</v>
      </c>
      <c r="C33" s="75" t="s">
        <v>548</v>
      </c>
      <c r="D33" s="75"/>
      <c r="E33" s="75"/>
      <c r="F33" s="15" t="s">
        <v>550</v>
      </c>
      <c r="G33" s="15">
        <v>10.0</v>
      </c>
      <c r="H33" s="15">
        <v>8.0</v>
      </c>
      <c r="J33" s="15" t="s">
        <v>551</v>
      </c>
      <c r="O33" s="15" t="s">
        <v>553</v>
      </c>
    </row>
    <row r="34" ht="15.75" customHeight="1">
      <c r="A34" s="76" t="s">
        <v>449</v>
      </c>
      <c r="B34" s="76" t="s">
        <v>478</v>
      </c>
      <c r="C34" s="75" t="s">
        <v>555</v>
      </c>
      <c r="D34" s="75"/>
      <c r="E34" s="75"/>
      <c r="F34" s="15" t="s">
        <v>550</v>
      </c>
      <c r="G34" s="15">
        <v>8.0</v>
      </c>
      <c r="H34" s="15">
        <v>5.0</v>
      </c>
      <c r="J34" s="15" t="s">
        <v>558</v>
      </c>
      <c r="O34" s="15" t="s">
        <v>559</v>
      </c>
    </row>
    <row r="35" ht="15.75" customHeight="1">
      <c r="A35" s="76"/>
      <c r="B35" s="76" t="s">
        <v>449</v>
      </c>
      <c r="C35" s="75" t="s">
        <v>562</v>
      </c>
      <c r="D35" s="75"/>
      <c r="E35" s="75"/>
      <c r="F35" s="15" t="s">
        <v>550</v>
      </c>
      <c r="G35" s="15">
        <v>6.0</v>
      </c>
      <c r="H35" s="15">
        <v>5.0</v>
      </c>
      <c r="J35" s="15" t="s">
        <v>564</v>
      </c>
      <c r="O35" s="15" t="s">
        <v>566</v>
      </c>
    </row>
    <row r="36" ht="15.75" customHeight="1">
      <c r="A36" s="76"/>
      <c r="B36" s="76" t="s">
        <v>567</v>
      </c>
      <c r="C36" s="82" t="s">
        <v>570</v>
      </c>
      <c r="D36" s="75"/>
      <c r="E36" s="75"/>
      <c r="F36" s="15" t="s">
        <v>550</v>
      </c>
      <c r="G36" s="15">
        <v>8.0</v>
      </c>
      <c r="H36" s="15">
        <v>4.0</v>
      </c>
      <c r="J36" s="15" t="s">
        <v>574</v>
      </c>
      <c r="O36" s="15" t="s">
        <v>575</v>
      </c>
    </row>
    <row r="37" ht="15.75" customHeight="1">
      <c r="A37" s="76" t="s">
        <v>21</v>
      </c>
      <c r="B37" s="76" t="s">
        <v>449</v>
      </c>
      <c r="C37" s="82" t="s">
        <v>578</v>
      </c>
      <c r="D37" s="75"/>
      <c r="E37" s="75"/>
      <c r="F37" s="15" t="s">
        <v>550</v>
      </c>
      <c r="G37" s="15">
        <v>10.0</v>
      </c>
      <c r="H37" s="15">
        <v>6.0</v>
      </c>
      <c r="J37" s="15" t="s">
        <v>582</v>
      </c>
      <c r="O37" s="15" t="s">
        <v>583</v>
      </c>
    </row>
    <row r="38" ht="15.75" customHeight="1">
      <c r="A38" s="76"/>
      <c r="B38" s="76" t="s">
        <v>449</v>
      </c>
      <c r="C38" s="82" t="s">
        <v>587</v>
      </c>
      <c r="D38" s="75"/>
      <c r="E38" s="75"/>
      <c r="F38" s="15" t="s">
        <v>550</v>
      </c>
      <c r="G38" s="15">
        <v>10.0</v>
      </c>
      <c r="H38" s="15">
        <v>5.0</v>
      </c>
      <c r="J38" s="15" t="s">
        <v>592</v>
      </c>
      <c r="O38" s="15" t="s">
        <v>593</v>
      </c>
    </row>
    <row r="39" ht="15.75" customHeight="1">
      <c r="A39" s="75"/>
      <c r="B39" s="74"/>
      <c r="C39" s="75"/>
      <c r="D39" s="75"/>
      <c r="E39" s="75"/>
    </row>
    <row r="40" ht="15.75" customHeight="1">
      <c r="A40" s="75"/>
      <c r="B40" s="74"/>
      <c r="C40" s="75"/>
      <c r="D40" s="75"/>
      <c r="E40" s="75"/>
    </row>
    <row r="41" ht="15.75" customHeight="1">
      <c r="A41" s="75"/>
      <c r="B41" s="74"/>
      <c r="C41" s="75"/>
      <c r="D41" s="75"/>
      <c r="E41" s="75"/>
    </row>
    <row r="42" ht="15.75" customHeight="1">
      <c r="A42" s="75"/>
      <c r="B42" s="74"/>
      <c r="C42" s="75"/>
      <c r="D42" s="75"/>
      <c r="E42" s="75"/>
    </row>
    <row r="43" ht="15.75" customHeight="1">
      <c r="A43" s="75"/>
      <c r="B43" s="74"/>
      <c r="C43" s="75"/>
      <c r="D43" s="75"/>
      <c r="E43" s="75"/>
    </row>
    <row r="44" ht="15.75" customHeight="1">
      <c r="A44" s="75"/>
      <c r="B44" s="74"/>
      <c r="C44" s="75"/>
      <c r="D44" s="75"/>
      <c r="E44" s="75"/>
    </row>
    <row r="45" ht="15.75" customHeight="1">
      <c r="A45" s="75"/>
      <c r="B45" s="74"/>
      <c r="C45" s="75"/>
      <c r="D45" s="75"/>
      <c r="E45" s="75"/>
    </row>
    <row r="46" ht="15.75" customHeight="1">
      <c r="A46" s="75"/>
      <c r="B46" s="74"/>
      <c r="C46" s="75"/>
      <c r="D46" s="75"/>
      <c r="E46" s="75"/>
    </row>
    <row r="47" ht="15.75" customHeight="1">
      <c r="A47" s="75"/>
      <c r="B47" s="74"/>
      <c r="C47" s="75"/>
      <c r="D47" s="75"/>
      <c r="E47" s="75"/>
    </row>
    <row r="48" ht="15.75" customHeight="1">
      <c r="A48" s="75"/>
      <c r="B48" s="74"/>
      <c r="C48" s="75"/>
      <c r="D48" s="75"/>
      <c r="E48" s="75"/>
    </row>
    <row r="49" ht="15.75" customHeight="1">
      <c r="A49" s="75"/>
      <c r="B49" s="74"/>
      <c r="C49" s="75"/>
      <c r="D49" s="75"/>
      <c r="E49" s="75"/>
    </row>
    <row r="50" ht="15.75" customHeight="1">
      <c r="A50" s="75"/>
      <c r="B50" s="74"/>
      <c r="C50" s="75"/>
      <c r="D50" s="75"/>
      <c r="E50" s="75"/>
    </row>
    <row r="51" ht="15.75" customHeight="1">
      <c r="A51" s="75"/>
      <c r="B51" s="74"/>
      <c r="C51" s="75"/>
      <c r="D51" s="75"/>
      <c r="E51" s="75"/>
    </row>
    <row r="52" ht="15.75" customHeight="1">
      <c r="A52" s="75"/>
      <c r="B52" s="74"/>
      <c r="C52" s="75"/>
      <c r="D52" s="75"/>
      <c r="E52" s="75"/>
    </row>
    <row r="53" ht="15.75" customHeight="1">
      <c r="A53" s="75"/>
      <c r="B53" s="74"/>
      <c r="C53" s="75"/>
      <c r="D53" s="75"/>
      <c r="E53" s="75"/>
    </row>
    <row r="54" ht="15.75" customHeight="1">
      <c r="A54" s="75"/>
      <c r="B54" s="74"/>
      <c r="C54" s="75"/>
      <c r="D54" s="75"/>
      <c r="E54" s="75"/>
    </row>
    <row r="55" ht="15.75" customHeight="1">
      <c r="A55" s="75"/>
      <c r="B55" s="74"/>
      <c r="C55" s="75"/>
      <c r="D55" s="75"/>
      <c r="E55" s="75"/>
    </row>
    <row r="56" ht="15.75" customHeight="1">
      <c r="A56" s="75"/>
      <c r="B56" s="74"/>
      <c r="C56" s="75"/>
      <c r="D56" s="75"/>
      <c r="E56" s="75"/>
    </row>
    <row r="57" ht="15.75" customHeight="1">
      <c r="A57" s="75"/>
      <c r="B57" s="74"/>
      <c r="C57" s="75"/>
      <c r="D57" s="75"/>
      <c r="E57" s="75"/>
    </row>
    <row r="58" ht="15.75" customHeight="1">
      <c r="A58" s="75"/>
      <c r="B58" s="74"/>
      <c r="C58" s="75"/>
      <c r="D58" s="75"/>
      <c r="E58" s="75"/>
    </row>
    <row r="59" ht="15.75" customHeight="1">
      <c r="A59" s="75"/>
      <c r="B59" s="74"/>
      <c r="C59" s="75"/>
      <c r="D59" s="75"/>
      <c r="E59" s="75"/>
    </row>
    <row r="60" ht="15.75" customHeight="1">
      <c r="A60" s="75"/>
      <c r="B60" s="74"/>
      <c r="C60" s="75"/>
      <c r="D60" s="75"/>
      <c r="E60" s="75"/>
    </row>
    <row r="61" ht="15.75" customHeight="1">
      <c r="A61" s="75"/>
      <c r="B61" s="74"/>
      <c r="C61" s="75"/>
      <c r="D61" s="75"/>
      <c r="E61" s="75"/>
    </row>
    <row r="62" ht="15.75" customHeight="1">
      <c r="A62" s="75"/>
      <c r="B62" s="74"/>
      <c r="C62" s="75"/>
      <c r="D62" s="75"/>
      <c r="E62" s="75"/>
    </row>
    <row r="63" ht="15.75" customHeight="1">
      <c r="A63" s="75"/>
      <c r="B63" s="74"/>
      <c r="C63" s="75"/>
      <c r="D63" s="75"/>
      <c r="E63" s="75"/>
    </row>
    <row r="64" ht="15.75" customHeight="1">
      <c r="A64" s="75"/>
      <c r="B64" s="74"/>
      <c r="C64" s="75"/>
      <c r="D64" s="75"/>
      <c r="E64" s="75"/>
    </row>
    <row r="65" ht="15.75" customHeight="1">
      <c r="A65" s="75"/>
      <c r="B65" s="74"/>
      <c r="C65" s="75"/>
      <c r="D65" s="75"/>
      <c r="E65" s="75"/>
    </row>
    <row r="66" ht="15.75" customHeight="1">
      <c r="A66" s="75"/>
      <c r="B66" s="74"/>
      <c r="C66" s="75"/>
      <c r="D66" s="75"/>
      <c r="E66" s="75"/>
    </row>
    <row r="67" ht="15.75" customHeight="1">
      <c r="A67" s="75"/>
      <c r="B67" s="74"/>
      <c r="C67" s="75"/>
      <c r="D67" s="75"/>
      <c r="E67" s="75"/>
    </row>
    <row r="68" ht="15.75" customHeight="1">
      <c r="A68" s="75"/>
      <c r="B68" s="74"/>
      <c r="C68" s="75"/>
      <c r="D68" s="75"/>
      <c r="E68" s="75"/>
    </row>
    <row r="69" ht="15.75" customHeight="1">
      <c r="A69" s="75"/>
      <c r="B69" s="74"/>
      <c r="C69" s="75"/>
      <c r="D69" s="75"/>
      <c r="E69" s="75"/>
    </row>
    <row r="70" ht="15.75" customHeight="1">
      <c r="A70" s="75"/>
      <c r="B70" s="74"/>
      <c r="C70" s="75"/>
      <c r="D70" s="75"/>
      <c r="E70" s="75"/>
    </row>
    <row r="71" ht="15.75" customHeight="1">
      <c r="A71" s="75"/>
      <c r="B71" s="74"/>
      <c r="C71" s="75"/>
      <c r="D71" s="75"/>
      <c r="E71" s="75"/>
    </row>
    <row r="72" ht="15.75" customHeight="1">
      <c r="A72" s="75"/>
      <c r="B72" s="74"/>
      <c r="C72" s="75"/>
      <c r="D72" s="75"/>
      <c r="E72" s="75"/>
    </row>
    <row r="73" ht="15.75" customHeight="1">
      <c r="A73" s="75"/>
      <c r="B73" s="74"/>
      <c r="C73" s="75"/>
      <c r="D73" s="75"/>
      <c r="E73" s="75"/>
    </row>
    <row r="74" ht="15.75" customHeight="1">
      <c r="A74" s="75"/>
      <c r="B74" s="74"/>
      <c r="C74" s="75"/>
      <c r="D74" s="75"/>
      <c r="E74" s="75"/>
    </row>
    <row r="75" ht="15.75" customHeight="1">
      <c r="A75" s="75"/>
      <c r="B75" s="74"/>
      <c r="C75" s="75"/>
      <c r="D75" s="75"/>
      <c r="E75" s="75"/>
    </row>
    <row r="76" ht="15.75" customHeight="1">
      <c r="A76" s="75"/>
      <c r="B76" s="74"/>
      <c r="C76" s="75"/>
      <c r="D76" s="75"/>
      <c r="E76" s="75"/>
    </row>
    <row r="77" ht="15.75" customHeight="1">
      <c r="A77" s="75"/>
      <c r="B77" s="74"/>
      <c r="C77" s="75"/>
      <c r="D77" s="75"/>
      <c r="E77" s="75"/>
    </row>
    <row r="78" ht="15.75" customHeight="1">
      <c r="A78" s="75"/>
      <c r="B78" s="74"/>
      <c r="C78" s="75"/>
      <c r="D78" s="75"/>
      <c r="E78" s="75"/>
    </row>
    <row r="79" ht="15.75" customHeight="1">
      <c r="A79" s="75"/>
      <c r="B79" s="74"/>
      <c r="C79" s="75"/>
      <c r="D79" s="75"/>
      <c r="E79" s="75"/>
    </row>
    <row r="80" ht="15.75" customHeight="1">
      <c r="A80" s="75"/>
      <c r="B80" s="74"/>
      <c r="C80" s="75"/>
      <c r="D80" s="75"/>
      <c r="E80" s="75"/>
    </row>
    <row r="81" ht="15.75" customHeight="1">
      <c r="A81" s="75"/>
      <c r="B81" s="74"/>
      <c r="C81" s="75"/>
      <c r="D81" s="75"/>
      <c r="E81" s="75"/>
    </row>
    <row r="82" ht="15.75" customHeight="1">
      <c r="A82" s="75"/>
      <c r="B82" s="74"/>
      <c r="C82" s="75"/>
      <c r="D82" s="75"/>
      <c r="E82" s="75"/>
    </row>
    <row r="83" ht="15.75" customHeight="1">
      <c r="A83" s="75"/>
      <c r="B83" s="74"/>
      <c r="C83" s="75"/>
      <c r="D83" s="75"/>
      <c r="E83" s="75"/>
    </row>
    <row r="84" ht="15.75" customHeight="1">
      <c r="A84" s="75"/>
      <c r="B84" s="74"/>
      <c r="C84" s="75"/>
      <c r="D84" s="75"/>
      <c r="E84" s="75"/>
    </row>
    <row r="85" ht="15.75" customHeight="1">
      <c r="A85" s="75"/>
      <c r="B85" s="74"/>
      <c r="C85" s="75"/>
      <c r="D85" s="75"/>
      <c r="E85" s="75"/>
    </row>
    <row r="86" ht="15.75" customHeight="1">
      <c r="A86" s="75"/>
      <c r="B86" s="74"/>
      <c r="C86" s="75"/>
      <c r="D86" s="75"/>
      <c r="E86" s="75"/>
    </row>
    <row r="87" ht="15.75" customHeight="1">
      <c r="A87" s="75"/>
      <c r="B87" s="74"/>
      <c r="C87" s="75"/>
      <c r="D87" s="75"/>
      <c r="E87" s="75"/>
    </row>
    <row r="88" ht="15.75" customHeight="1">
      <c r="A88" s="75"/>
      <c r="B88" s="74"/>
      <c r="C88" s="75"/>
      <c r="D88" s="75"/>
      <c r="E88" s="75"/>
    </row>
    <row r="89" ht="15.75" customHeight="1">
      <c r="A89" s="75"/>
      <c r="B89" s="74"/>
      <c r="C89" s="75"/>
      <c r="D89" s="75"/>
      <c r="E89" s="75"/>
    </row>
    <row r="90" ht="15.75" customHeight="1">
      <c r="A90" s="75"/>
      <c r="B90" s="74"/>
      <c r="C90" s="75"/>
      <c r="D90" s="75"/>
      <c r="E90" s="75"/>
    </row>
    <row r="91" ht="15.75" customHeight="1">
      <c r="A91" s="75"/>
      <c r="B91" s="74"/>
      <c r="C91" s="75"/>
      <c r="D91" s="75"/>
      <c r="E91" s="75"/>
    </row>
    <row r="92" ht="15.75" customHeight="1">
      <c r="A92" s="75"/>
      <c r="B92" s="74"/>
      <c r="C92" s="75"/>
      <c r="D92" s="75"/>
      <c r="E92" s="75"/>
    </row>
    <row r="93" ht="15.75" customHeight="1">
      <c r="A93" s="75"/>
      <c r="B93" s="74"/>
      <c r="C93" s="75"/>
      <c r="D93" s="75"/>
      <c r="E93" s="75"/>
    </row>
    <row r="94" ht="15.75" customHeight="1">
      <c r="A94" s="75"/>
      <c r="B94" s="74"/>
      <c r="C94" s="75"/>
      <c r="D94" s="75"/>
      <c r="E94" s="75"/>
    </row>
    <row r="95" ht="15.75" customHeight="1">
      <c r="A95" s="75"/>
      <c r="B95" s="74"/>
      <c r="C95" s="75"/>
      <c r="D95" s="75"/>
      <c r="E95" s="75"/>
    </row>
    <row r="96" ht="15.75" customHeight="1">
      <c r="A96" s="75"/>
      <c r="B96" s="74"/>
      <c r="C96" s="75"/>
      <c r="D96" s="75"/>
      <c r="E96" s="75"/>
    </row>
    <row r="97" ht="15.75" customHeight="1">
      <c r="A97" s="75"/>
      <c r="B97" s="74"/>
      <c r="C97" s="75"/>
      <c r="D97" s="75"/>
      <c r="E97" s="75"/>
    </row>
    <row r="98" ht="15.75" customHeight="1">
      <c r="A98" s="75"/>
      <c r="B98" s="74"/>
      <c r="C98" s="75"/>
      <c r="D98" s="75"/>
      <c r="E98" s="75"/>
    </row>
    <row r="99" ht="15.75" customHeight="1">
      <c r="A99" s="75"/>
      <c r="B99" s="74"/>
      <c r="C99" s="75"/>
      <c r="D99" s="75"/>
      <c r="E99" s="75"/>
    </row>
    <row r="100" ht="15.75" customHeight="1">
      <c r="A100" s="75"/>
      <c r="B100" s="74"/>
      <c r="C100" s="75"/>
      <c r="D100" s="75"/>
      <c r="E100" s="75"/>
    </row>
    <row r="101" ht="15.75" customHeight="1">
      <c r="A101" s="75"/>
      <c r="B101" s="74"/>
      <c r="C101" s="75"/>
      <c r="D101" s="75"/>
      <c r="E101" s="75"/>
    </row>
    <row r="102" ht="15.75" customHeight="1">
      <c r="A102" s="75"/>
      <c r="B102" s="74"/>
      <c r="C102" s="75"/>
      <c r="D102" s="75"/>
      <c r="E102" s="75"/>
    </row>
    <row r="103" ht="15.75" customHeight="1">
      <c r="A103" s="75"/>
      <c r="B103" s="74"/>
      <c r="C103" s="75"/>
      <c r="D103" s="75"/>
      <c r="E103" s="75"/>
    </row>
    <row r="104" ht="15.75" customHeight="1">
      <c r="A104" s="75"/>
      <c r="B104" s="74"/>
      <c r="C104" s="75"/>
      <c r="D104" s="75"/>
      <c r="E104" s="75"/>
    </row>
    <row r="105" ht="15.75" customHeight="1">
      <c r="A105" s="75"/>
      <c r="B105" s="74"/>
      <c r="C105" s="75"/>
      <c r="D105" s="75"/>
      <c r="E105" s="75"/>
    </row>
    <row r="106" ht="15.75" customHeight="1">
      <c r="A106" s="75"/>
      <c r="B106" s="74"/>
      <c r="C106" s="75"/>
      <c r="D106" s="75"/>
      <c r="E106" s="75"/>
    </row>
    <row r="107" ht="15.75" customHeight="1">
      <c r="A107" s="75"/>
      <c r="B107" s="74"/>
      <c r="C107" s="75"/>
      <c r="D107" s="75"/>
      <c r="E107" s="75"/>
    </row>
    <row r="108" ht="15.75" customHeight="1">
      <c r="A108" s="75"/>
      <c r="B108" s="74"/>
      <c r="C108" s="75"/>
      <c r="D108" s="75"/>
      <c r="E108" s="75"/>
    </row>
    <row r="109" ht="15.75" customHeight="1">
      <c r="A109" s="75"/>
      <c r="B109" s="74"/>
      <c r="C109" s="75"/>
      <c r="D109" s="75"/>
      <c r="E109" s="75"/>
    </row>
    <row r="110" ht="15.75" customHeight="1">
      <c r="A110" s="75"/>
      <c r="B110" s="74"/>
      <c r="C110" s="75"/>
      <c r="D110" s="75"/>
      <c r="E110" s="75"/>
    </row>
    <row r="111" ht="15.75" customHeight="1">
      <c r="A111" s="75"/>
      <c r="B111" s="74"/>
      <c r="C111" s="75"/>
      <c r="D111" s="75"/>
      <c r="E111" s="75"/>
    </row>
    <row r="112" ht="15.75" customHeight="1">
      <c r="A112" s="75"/>
      <c r="B112" s="74"/>
      <c r="C112" s="75"/>
      <c r="D112" s="75"/>
      <c r="E112" s="75"/>
    </row>
    <row r="113" ht="15.75" customHeight="1">
      <c r="A113" s="75"/>
      <c r="B113" s="74"/>
      <c r="C113" s="75"/>
      <c r="D113" s="75"/>
      <c r="E113" s="75"/>
    </row>
    <row r="114" ht="15.75" customHeight="1">
      <c r="A114" s="75"/>
      <c r="B114" s="74"/>
      <c r="C114" s="75"/>
      <c r="D114" s="75"/>
      <c r="E114" s="75"/>
    </row>
    <row r="115" ht="15.75" customHeight="1">
      <c r="A115" s="75"/>
      <c r="B115" s="74"/>
      <c r="C115" s="75"/>
      <c r="D115" s="75"/>
      <c r="E115" s="75"/>
    </row>
    <row r="116" ht="15.75" customHeight="1">
      <c r="A116" s="75"/>
      <c r="B116" s="74"/>
      <c r="C116" s="75"/>
      <c r="D116" s="75"/>
      <c r="E116" s="75"/>
    </row>
    <row r="117" ht="15.75" customHeight="1">
      <c r="A117" s="75"/>
      <c r="B117" s="74"/>
      <c r="C117" s="75"/>
      <c r="D117" s="75"/>
      <c r="E117" s="75"/>
    </row>
    <row r="118" ht="15.75" customHeight="1">
      <c r="A118" s="75"/>
      <c r="B118" s="74"/>
      <c r="C118" s="75"/>
      <c r="D118" s="75"/>
      <c r="E118" s="75"/>
    </row>
    <row r="119" ht="15.75" customHeight="1">
      <c r="A119" s="75"/>
      <c r="B119" s="74"/>
      <c r="C119" s="75"/>
      <c r="D119" s="75"/>
      <c r="E119" s="75"/>
    </row>
    <row r="120" ht="15.75" customHeight="1">
      <c r="A120" s="75"/>
      <c r="B120" s="74"/>
      <c r="C120" s="75"/>
      <c r="D120" s="75"/>
      <c r="E120" s="75"/>
    </row>
    <row r="121" ht="15.75" customHeight="1">
      <c r="A121" s="75"/>
      <c r="B121" s="74"/>
      <c r="C121" s="75"/>
      <c r="D121" s="75"/>
      <c r="E121" s="75"/>
    </row>
    <row r="122" ht="15.75" customHeight="1">
      <c r="A122" s="75"/>
      <c r="B122" s="74"/>
      <c r="C122" s="75"/>
      <c r="D122" s="75"/>
      <c r="E122" s="75"/>
    </row>
    <row r="123" ht="15.75" customHeight="1">
      <c r="A123" s="75"/>
      <c r="B123" s="74"/>
      <c r="C123" s="75"/>
      <c r="D123" s="75"/>
      <c r="E123" s="75"/>
    </row>
    <row r="124" ht="15.75" customHeight="1">
      <c r="A124" s="75"/>
      <c r="B124" s="74"/>
      <c r="C124" s="75"/>
      <c r="D124" s="75"/>
      <c r="E124" s="75"/>
    </row>
    <row r="125" ht="15.75" customHeight="1">
      <c r="A125" s="75"/>
      <c r="B125" s="74"/>
      <c r="C125" s="75"/>
      <c r="D125" s="75"/>
      <c r="E125" s="75"/>
    </row>
    <row r="126" ht="15.75" customHeight="1">
      <c r="A126" s="75"/>
      <c r="B126" s="74"/>
      <c r="C126" s="75"/>
      <c r="D126" s="75"/>
      <c r="E126" s="75"/>
    </row>
    <row r="127" ht="15.75" customHeight="1">
      <c r="A127" s="75"/>
      <c r="B127" s="74"/>
      <c r="C127" s="75"/>
      <c r="D127" s="75"/>
      <c r="E127" s="75"/>
    </row>
    <row r="128" ht="15.75" customHeight="1">
      <c r="A128" s="75"/>
      <c r="B128" s="74"/>
      <c r="C128" s="75"/>
      <c r="D128" s="75"/>
      <c r="E128" s="75"/>
    </row>
    <row r="129" ht="15.75" customHeight="1">
      <c r="A129" s="75"/>
      <c r="B129" s="74"/>
      <c r="C129" s="75"/>
      <c r="D129" s="75"/>
      <c r="E129" s="75"/>
    </row>
    <row r="130" ht="15.75" customHeight="1">
      <c r="A130" s="75"/>
      <c r="B130" s="74"/>
      <c r="C130" s="75"/>
      <c r="D130" s="75"/>
      <c r="E130" s="75"/>
    </row>
    <row r="131" ht="15.75" customHeight="1">
      <c r="A131" s="75"/>
      <c r="B131" s="74"/>
      <c r="C131" s="75"/>
      <c r="D131" s="75"/>
      <c r="E131" s="75"/>
    </row>
    <row r="132" ht="15.75" customHeight="1">
      <c r="A132" s="75"/>
      <c r="B132" s="74"/>
      <c r="C132" s="75"/>
      <c r="D132" s="75"/>
      <c r="E132" s="75"/>
    </row>
    <row r="133" ht="15.75" customHeight="1">
      <c r="A133" s="75"/>
      <c r="B133" s="74"/>
      <c r="C133" s="75"/>
      <c r="D133" s="75"/>
      <c r="E133" s="75"/>
    </row>
    <row r="134" ht="15.75" customHeight="1">
      <c r="A134" s="75"/>
      <c r="B134" s="74"/>
      <c r="C134" s="75"/>
      <c r="D134" s="75"/>
      <c r="E134" s="75"/>
    </row>
    <row r="135" ht="15.75" customHeight="1">
      <c r="A135" s="75"/>
      <c r="B135" s="74"/>
      <c r="C135" s="75"/>
      <c r="D135" s="75"/>
      <c r="E135" s="75"/>
    </row>
    <row r="136" ht="15.75" customHeight="1">
      <c r="A136" s="75"/>
      <c r="B136" s="74"/>
      <c r="C136" s="75"/>
      <c r="D136" s="75"/>
      <c r="E136" s="75"/>
    </row>
    <row r="137" ht="15.75" customHeight="1">
      <c r="A137" s="75"/>
      <c r="B137" s="74"/>
      <c r="C137" s="75"/>
      <c r="D137" s="75"/>
      <c r="E137" s="75"/>
    </row>
    <row r="138" ht="15.75" customHeight="1">
      <c r="A138" s="75"/>
      <c r="B138" s="74"/>
      <c r="C138" s="75"/>
      <c r="D138" s="75"/>
      <c r="E138" s="75"/>
    </row>
    <row r="139" ht="15.75" customHeight="1">
      <c r="A139" s="75"/>
      <c r="B139" s="74"/>
      <c r="C139" s="75"/>
      <c r="D139" s="75"/>
      <c r="E139" s="75"/>
    </row>
    <row r="140" ht="15.75" customHeight="1">
      <c r="A140" s="75"/>
      <c r="B140" s="74"/>
      <c r="C140" s="75"/>
      <c r="D140" s="75"/>
      <c r="E140" s="75"/>
    </row>
    <row r="141" ht="15.75" customHeight="1">
      <c r="A141" s="75"/>
      <c r="B141" s="74"/>
      <c r="C141" s="75"/>
      <c r="D141" s="75"/>
      <c r="E141" s="75"/>
    </row>
    <row r="142" ht="15.75" customHeight="1">
      <c r="A142" s="75"/>
      <c r="B142" s="74"/>
      <c r="C142" s="75"/>
      <c r="D142" s="75"/>
      <c r="E142" s="75"/>
    </row>
    <row r="143" ht="15.75" customHeight="1">
      <c r="A143" s="75"/>
      <c r="B143" s="74"/>
      <c r="C143" s="75"/>
      <c r="D143" s="75"/>
      <c r="E143" s="75"/>
    </row>
    <row r="144" ht="15.75" customHeight="1">
      <c r="A144" s="75"/>
      <c r="B144" s="74"/>
      <c r="C144" s="75"/>
      <c r="D144" s="75"/>
      <c r="E144" s="75"/>
    </row>
    <row r="145" ht="15.75" customHeight="1">
      <c r="A145" s="75"/>
      <c r="B145" s="74"/>
      <c r="C145" s="75"/>
      <c r="D145" s="75"/>
      <c r="E145" s="75"/>
    </row>
    <row r="146" ht="15.75" customHeight="1">
      <c r="A146" s="75"/>
      <c r="B146" s="74"/>
      <c r="C146" s="75"/>
      <c r="D146" s="75"/>
      <c r="E146" s="75"/>
    </row>
    <row r="147" ht="15.75" customHeight="1">
      <c r="A147" s="75"/>
      <c r="B147" s="74"/>
      <c r="C147" s="75"/>
      <c r="D147" s="75"/>
      <c r="E147" s="75"/>
    </row>
    <row r="148" ht="15.75" customHeight="1">
      <c r="A148" s="75"/>
      <c r="B148" s="74"/>
      <c r="C148" s="75"/>
      <c r="D148" s="75"/>
      <c r="E148" s="75"/>
    </row>
    <row r="149" ht="15.75" customHeight="1">
      <c r="A149" s="75"/>
      <c r="B149" s="74"/>
      <c r="C149" s="75"/>
      <c r="D149" s="75"/>
      <c r="E149" s="75"/>
    </row>
    <row r="150" ht="15.75" customHeight="1">
      <c r="A150" s="75"/>
      <c r="B150" s="74"/>
      <c r="C150" s="75"/>
      <c r="D150" s="75"/>
      <c r="E150" s="75"/>
    </row>
    <row r="151" ht="15.75" customHeight="1">
      <c r="A151" s="75"/>
      <c r="B151" s="74"/>
      <c r="C151" s="75"/>
      <c r="D151" s="75"/>
      <c r="E151" s="75"/>
    </row>
    <row r="152" ht="15.75" customHeight="1">
      <c r="A152" s="75"/>
      <c r="B152" s="74"/>
      <c r="C152" s="75"/>
      <c r="D152" s="75"/>
      <c r="E152" s="75"/>
    </row>
    <row r="153" ht="15.75" customHeight="1">
      <c r="A153" s="75"/>
      <c r="B153" s="74"/>
      <c r="C153" s="75"/>
      <c r="D153" s="75"/>
      <c r="E153" s="75"/>
    </row>
    <row r="154" ht="15.75" customHeight="1">
      <c r="A154" s="75"/>
      <c r="B154" s="74"/>
      <c r="C154" s="75"/>
      <c r="D154" s="75"/>
      <c r="E154" s="75"/>
    </row>
    <row r="155" ht="15.75" customHeight="1">
      <c r="A155" s="75"/>
      <c r="B155" s="74"/>
      <c r="C155" s="75"/>
      <c r="D155" s="75"/>
      <c r="E155" s="75"/>
    </row>
    <row r="156" ht="15.75" customHeight="1">
      <c r="A156" s="75"/>
      <c r="B156" s="74"/>
      <c r="C156" s="75"/>
      <c r="D156" s="75"/>
      <c r="E156" s="75"/>
    </row>
    <row r="157" ht="15.75" customHeight="1">
      <c r="A157" s="75"/>
      <c r="B157" s="74"/>
      <c r="C157" s="75"/>
      <c r="D157" s="75"/>
      <c r="E157" s="75"/>
    </row>
    <row r="158" ht="15.75" customHeight="1">
      <c r="A158" s="75"/>
      <c r="B158" s="74"/>
      <c r="C158" s="75"/>
      <c r="D158" s="75"/>
      <c r="E158" s="75"/>
    </row>
    <row r="159" ht="15.75" customHeight="1">
      <c r="A159" s="75"/>
      <c r="B159" s="74"/>
      <c r="C159" s="75"/>
      <c r="D159" s="75"/>
      <c r="E159" s="75"/>
    </row>
    <row r="160" ht="15.75" customHeight="1">
      <c r="A160" s="75"/>
      <c r="B160" s="74"/>
      <c r="C160" s="75"/>
      <c r="D160" s="75"/>
      <c r="E160" s="75"/>
    </row>
    <row r="161" ht="15.75" customHeight="1">
      <c r="A161" s="75"/>
      <c r="B161" s="74"/>
      <c r="C161" s="75"/>
      <c r="D161" s="75"/>
      <c r="E161" s="75"/>
    </row>
    <row r="162" ht="15.75" customHeight="1">
      <c r="A162" s="75"/>
      <c r="B162" s="74"/>
      <c r="C162" s="75"/>
      <c r="D162" s="75"/>
      <c r="E162" s="75"/>
    </row>
    <row r="163" ht="15.75" customHeight="1">
      <c r="A163" s="75"/>
      <c r="B163" s="74"/>
      <c r="C163" s="75"/>
      <c r="D163" s="75"/>
      <c r="E163" s="75"/>
    </row>
    <row r="164" ht="15.75" customHeight="1">
      <c r="A164" s="75"/>
      <c r="B164" s="74"/>
      <c r="C164" s="75"/>
      <c r="D164" s="75"/>
      <c r="E164" s="75"/>
    </row>
    <row r="165" ht="15.75" customHeight="1">
      <c r="A165" s="75"/>
      <c r="B165" s="74"/>
      <c r="C165" s="75"/>
      <c r="D165" s="75"/>
      <c r="E165" s="75"/>
    </row>
    <row r="166" ht="15.75" customHeight="1">
      <c r="A166" s="75"/>
      <c r="B166" s="74"/>
      <c r="C166" s="75"/>
      <c r="D166" s="75"/>
      <c r="E166" s="75"/>
    </row>
    <row r="167" ht="15.75" customHeight="1">
      <c r="A167" s="75"/>
      <c r="B167" s="74"/>
      <c r="C167" s="75"/>
      <c r="D167" s="75"/>
      <c r="E167" s="75"/>
    </row>
    <row r="168" ht="15.75" customHeight="1">
      <c r="A168" s="75"/>
      <c r="B168" s="74"/>
      <c r="C168" s="75"/>
      <c r="D168" s="75"/>
      <c r="E168" s="75"/>
    </row>
    <row r="169" ht="15.75" customHeight="1">
      <c r="A169" s="75"/>
      <c r="B169" s="74"/>
      <c r="C169" s="75"/>
      <c r="D169" s="75"/>
      <c r="E169" s="75"/>
    </row>
    <row r="170" ht="15.75" customHeight="1">
      <c r="A170" s="75"/>
      <c r="B170" s="74"/>
      <c r="C170" s="75"/>
      <c r="D170" s="75"/>
      <c r="E170" s="75"/>
    </row>
    <row r="171" ht="15.75" customHeight="1">
      <c r="A171" s="75"/>
      <c r="B171" s="74"/>
      <c r="C171" s="75"/>
      <c r="D171" s="75"/>
      <c r="E171" s="75"/>
    </row>
    <row r="172" ht="15.75" customHeight="1">
      <c r="A172" s="75"/>
      <c r="B172" s="74"/>
      <c r="C172" s="75"/>
      <c r="D172" s="75"/>
      <c r="E172" s="75"/>
    </row>
    <row r="173" ht="15.75" customHeight="1">
      <c r="A173" s="75"/>
      <c r="B173" s="74"/>
      <c r="C173" s="75"/>
      <c r="D173" s="75"/>
      <c r="E173" s="75"/>
    </row>
    <row r="174" ht="15.75" customHeight="1">
      <c r="A174" s="75"/>
      <c r="B174" s="74"/>
      <c r="C174" s="75"/>
      <c r="D174" s="75"/>
      <c r="E174" s="75"/>
    </row>
    <row r="175" ht="15.75" customHeight="1">
      <c r="A175" s="75"/>
      <c r="B175" s="74"/>
      <c r="C175" s="75"/>
      <c r="D175" s="75"/>
      <c r="E175" s="75"/>
    </row>
    <row r="176" ht="15.75" customHeight="1">
      <c r="A176" s="75"/>
      <c r="B176" s="74"/>
      <c r="C176" s="75"/>
      <c r="D176" s="75"/>
      <c r="E176" s="75"/>
    </row>
    <row r="177" ht="15.75" customHeight="1">
      <c r="A177" s="75"/>
      <c r="B177" s="74"/>
      <c r="C177" s="75"/>
      <c r="D177" s="75"/>
      <c r="E177" s="75"/>
    </row>
    <row r="178" ht="15.75" customHeight="1">
      <c r="A178" s="75"/>
      <c r="B178" s="74"/>
      <c r="C178" s="75"/>
      <c r="D178" s="75"/>
      <c r="E178" s="75"/>
    </row>
    <row r="179" ht="15.75" customHeight="1">
      <c r="A179" s="75"/>
      <c r="B179" s="74"/>
      <c r="C179" s="75"/>
      <c r="D179" s="75"/>
      <c r="E179" s="75"/>
    </row>
    <row r="180" ht="15.75" customHeight="1">
      <c r="A180" s="75"/>
      <c r="B180" s="74"/>
      <c r="C180" s="75"/>
      <c r="D180" s="75"/>
      <c r="E180" s="75"/>
    </row>
    <row r="181" ht="15.75" customHeight="1">
      <c r="A181" s="75"/>
      <c r="B181" s="74"/>
      <c r="C181" s="75"/>
      <c r="D181" s="75"/>
      <c r="E181" s="75"/>
    </row>
    <row r="182" ht="15.75" customHeight="1">
      <c r="A182" s="75"/>
      <c r="B182" s="74"/>
      <c r="C182" s="75"/>
      <c r="D182" s="75"/>
      <c r="E182" s="75"/>
    </row>
    <row r="183" ht="15.75" customHeight="1">
      <c r="A183" s="75"/>
      <c r="B183" s="74"/>
      <c r="C183" s="75"/>
      <c r="D183" s="75"/>
      <c r="E183" s="75"/>
    </row>
    <row r="184" ht="15.75" customHeight="1">
      <c r="A184" s="75"/>
      <c r="B184" s="74"/>
      <c r="C184" s="75"/>
      <c r="D184" s="75"/>
      <c r="E184" s="75"/>
    </row>
    <row r="185" ht="15.75" customHeight="1">
      <c r="A185" s="75"/>
      <c r="B185" s="74"/>
      <c r="C185" s="75"/>
      <c r="D185" s="75"/>
      <c r="E185" s="75"/>
    </row>
    <row r="186" ht="15.75" customHeight="1">
      <c r="A186" s="75"/>
      <c r="B186" s="74"/>
      <c r="C186" s="75"/>
      <c r="D186" s="75"/>
      <c r="E186" s="75"/>
    </row>
    <row r="187" ht="15.75" customHeight="1">
      <c r="A187" s="75"/>
      <c r="B187" s="74"/>
      <c r="C187" s="75"/>
      <c r="D187" s="75"/>
      <c r="E187" s="75"/>
    </row>
    <row r="188" ht="15.75" customHeight="1">
      <c r="A188" s="75"/>
      <c r="B188" s="74"/>
      <c r="C188" s="75"/>
      <c r="D188" s="75"/>
      <c r="E188" s="75"/>
    </row>
    <row r="189" ht="15.75" customHeight="1">
      <c r="A189" s="75"/>
      <c r="B189" s="74"/>
      <c r="C189" s="75"/>
      <c r="D189" s="75"/>
      <c r="E189" s="75"/>
    </row>
    <row r="190" ht="15.75" customHeight="1">
      <c r="A190" s="75"/>
      <c r="B190" s="74"/>
      <c r="C190" s="75"/>
      <c r="D190" s="75"/>
      <c r="E190" s="75"/>
    </row>
    <row r="191" ht="15.75" customHeight="1">
      <c r="A191" s="75"/>
      <c r="B191" s="74"/>
      <c r="C191" s="75"/>
      <c r="D191" s="75"/>
      <c r="E191" s="75"/>
    </row>
    <row r="192" ht="15.75" customHeight="1">
      <c r="A192" s="75"/>
      <c r="B192" s="74"/>
      <c r="C192" s="75"/>
      <c r="D192" s="75"/>
      <c r="E192" s="75"/>
    </row>
    <row r="193" ht="15.75" customHeight="1">
      <c r="A193" s="75"/>
      <c r="B193" s="74"/>
      <c r="C193" s="75"/>
      <c r="D193" s="75"/>
      <c r="E193" s="75"/>
    </row>
    <row r="194" ht="15.75" customHeight="1">
      <c r="A194" s="75"/>
      <c r="B194" s="74"/>
      <c r="C194" s="75"/>
      <c r="D194" s="75"/>
      <c r="E194" s="75"/>
    </row>
    <row r="195" ht="15.75" customHeight="1">
      <c r="A195" s="75"/>
      <c r="B195" s="74"/>
      <c r="C195" s="75"/>
      <c r="D195" s="75"/>
      <c r="E195" s="75"/>
    </row>
    <row r="196" ht="15.75" customHeight="1">
      <c r="A196" s="75"/>
      <c r="B196" s="74"/>
      <c r="C196" s="75"/>
      <c r="D196" s="75"/>
      <c r="E196" s="75"/>
    </row>
    <row r="197" ht="15.75" customHeight="1">
      <c r="A197" s="75"/>
      <c r="B197" s="74"/>
      <c r="C197" s="75"/>
      <c r="D197" s="75"/>
      <c r="E197" s="75"/>
    </row>
    <row r="198" ht="15.75" customHeight="1">
      <c r="A198" s="75"/>
      <c r="B198" s="74"/>
      <c r="C198" s="75"/>
      <c r="D198" s="75"/>
      <c r="E198" s="75"/>
    </row>
    <row r="199" ht="15.75" customHeight="1">
      <c r="A199" s="75"/>
      <c r="B199" s="74"/>
      <c r="C199" s="75"/>
      <c r="D199" s="75"/>
      <c r="E199" s="75"/>
    </row>
    <row r="200" ht="15.75" customHeight="1">
      <c r="A200" s="75"/>
      <c r="B200" s="74"/>
      <c r="C200" s="75"/>
      <c r="D200" s="75"/>
      <c r="E200" s="75"/>
    </row>
    <row r="201" ht="15.75" customHeight="1">
      <c r="A201" s="75"/>
      <c r="B201" s="74"/>
      <c r="C201" s="75"/>
      <c r="D201" s="75"/>
      <c r="E201" s="75"/>
    </row>
    <row r="202" ht="15.75" customHeight="1">
      <c r="A202" s="75"/>
      <c r="B202" s="74"/>
      <c r="C202" s="75"/>
      <c r="D202" s="75"/>
      <c r="E202" s="75"/>
    </row>
    <row r="203" ht="15.75" customHeight="1">
      <c r="A203" s="75"/>
      <c r="B203" s="74"/>
      <c r="C203" s="75"/>
      <c r="D203" s="75"/>
      <c r="E203" s="75"/>
    </row>
    <row r="204" ht="15.75" customHeight="1">
      <c r="A204" s="75"/>
      <c r="B204" s="74"/>
      <c r="C204" s="75"/>
      <c r="D204" s="75"/>
      <c r="E204" s="75"/>
    </row>
    <row r="205" ht="15.75" customHeight="1">
      <c r="A205" s="75"/>
      <c r="B205" s="74"/>
      <c r="C205" s="75"/>
      <c r="D205" s="75"/>
      <c r="E205" s="75"/>
    </row>
    <row r="206" ht="15.75" customHeight="1">
      <c r="A206" s="75"/>
      <c r="B206" s="74"/>
      <c r="C206" s="75"/>
      <c r="D206" s="75"/>
      <c r="E206" s="75"/>
    </row>
    <row r="207" ht="15.75" customHeight="1">
      <c r="A207" s="75"/>
      <c r="B207" s="74"/>
      <c r="C207" s="75"/>
      <c r="D207" s="75"/>
      <c r="E207" s="75"/>
    </row>
    <row r="208" ht="15.75" customHeight="1">
      <c r="A208" s="75"/>
      <c r="B208" s="74"/>
      <c r="C208" s="75"/>
      <c r="D208" s="75"/>
      <c r="E208" s="75"/>
    </row>
    <row r="209" ht="15.75" customHeight="1">
      <c r="A209" s="75"/>
      <c r="B209" s="74"/>
      <c r="C209" s="75"/>
      <c r="D209" s="75"/>
      <c r="E209" s="75"/>
    </row>
    <row r="210" ht="15.75" customHeight="1">
      <c r="A210" s="75"/>
      <c r="B210" s="74"/>
      <c r="C210" s="75"/>
      <c r="D210" s="75"/>
      <c r="E210" s="75"/>
    </row>
    <row r="211" ht="15.75" customHeight="1">
      <c r="A211" s="75"/>
      <c r="B211" s="74"/>
      <c r="C211" s="75"/>
      <c r="D211" s="75"/>
      <c r="E211" s="75"/>
    </row>
    <row r="212" ht="15.75" customHeight="1">
      <c r="A212" s="75"/>
      <c r="B212" s="74"/>
      <c r="C212" s="75"/>
      <c r="D212" s="75"/>
      <c r="E212" s="75"/>
    </row>
    <row r="213" ht="15.75" customHeight="1">
      <c r="A213" s="75"/>
      <c r="B213" s="74"/>
      <c r="C213" s="75"/>
      <c r="D213" s="75"/>
      <c r="E213" s="75"/>
    </row>
    <row r="214" ht="15.75" customHeight="1">
      <c r="A214" s="75"/>
      <c r="B214" s="74"/>
      <c r="C214" s="75"/>
      <c r="D214" s="75"/>
      <c r="E214" s="75"/>
    </row>
    <row r="215" ht="15.75" customHeight="1">
      <c r="A215" s="75"/>
      <c r="B215" s="74"/>
      <c r="C215" s="75"/>
      <c r="D215" s="75"/>
      <c r="E215" s="75"/>
    </row>
    <row r="216" ht="15.75" customHeight="1">
      <c r="A216" s="75"/>
      <c r="B216" s="74"/>
      <c r="C216" s="75"/>
      <c r="D216" s="75"/>
      <c r="E216" s="75"/>
    </row>
    <row r="217" ht="15.75" customHeight="1">
      <c r="A217" s="75"/>
      <c r="B217" s="74"/>
      <c r="C217" s="75"/>
      <c r="D217" s="75"/>
      <c r="E217" s="75"/>
    </row>
    <row r="218" ht="15.75" customHeight="1">
      <c r="A218" s="75"/>
      <c r="B218" s="74"/>
      <c r="C218" s="75"/>
      <c r="D218" s="75"/>
      <c r="E218" s="75"/>
    </row>
    <row r="219" ht="15.75" customHeight="1">
      <c r="A219" s="75"/>
      <c r="B219" s="74"/>
      <c r="C219" s="75"/>
      <c r="D219" s="75"/>
      <c r="E219" s="75"/>
    </row>
    <row r="220" ht="15.75" customHeight="1">
      <c r="A220" s="75"/>
      <c r="B220" s="74"/>
      <c r="C220" s="75"/>
      <c r="D220" s="75"/>
      <c r="E220" s="75"/>
    </row>
    <row r="221" ht="15.75" customHeight="1">
      <c r="A221" s="75"/>
      <c r="B221" s="74"/>
      <c r="C221" s="75"/>
      <c r="D221" s="75"/>
      <c r="E221" s="75"/>
    </row>
    <row r="222" ht="15.75" customHeight="1">
      <c r="A222" s="75"/>
      <c r="B222" s="74"/>
      <c r="C222" s="75"/>
      <c r="D222" s="75"/>
      <c r="E222" s="75"/>
    </row>
    <row r="223" ht="15.75" customHeight="1">
      <c r="A223" s="75"/>
      <c r="B223" s="74"/>
      <c r="C223" s="75"/>
      <c r="D223" s="75"/>
      <c r="E223" s="75"/>
    </row>
    <row r="224" ht="15.75" customHeight="1">
      <c r="A224" s="75"/>
      <c r="B224" s="74"/>
      <c r="C224" s="75"/>
      <c r="D224" s="75"/>
      <c r="E224" s="75"/>
    </row>
    <row r="225" ht="15.75" customHeight="1">
      <c r="A225" s="75"/>
      <c r="B225" s="74"/>
      <c r="C225" s="75"/>
      <c r="D225" s="75"/>
      <c r="E225" s="75"/>
    </row>
    <row r="226" ht="15.75" customHeight="1">
      <c r="A226" s="75"/>
      <c r="B226" s="74"/>
      <c r="C226" s="75"/>
      <c r="D226" s="75"/>
      <c r="E226" s="75"/>
    </row>
    <row r="227" ht="15.75" customHeight="1">
      <c r="A227" s="75"/>
      <c r="B227" s="74"/>
      <c r="C227" s="75"/>
      <c r="D227" s="75"/>
      <c r="E227" s="75"/>
    </row>
    <row r="228" ht="15.75" customHeight="1">
      <c r="A228" s="75"/>
      <c r="B228" s="74"/>
      <c r="C228" s="75"/>
      <c r="D228" s="75"/>
      <c r="E228" s="75"/>
    </row>
    <row r="229" ht="15.75" customHeight="1">
      <c r="A229" s="75"/>
      <c r="B229" s="74"/>
      <c r="C229" s="75"/>
      <c r="D229" s="75"/>
      <c r="E229" s="75"/>
    </row>
    <row r="230" ht="15.75" customHeight="1">
      <c r="A230" s="75"/>
      <c r="B230" s="74"/>
      <c r="C230" s="75"/>
      <c r="D230" s="75"/>
      <c r="E230" s="75"/>
    </row>
    <row r="231" ht="15.75" customHeight="1">
      <c r="A231" s="75"/>
      <c r="B231" s="74"/>
      <c r="C231" s="75"/>
      <c r="D231" s="75"/>
      <c r="E231" s="75"/>
    </row>
    <row r="232" ht="15.75" customHeight="1">
      <c r="A232" s="75"/>
      <c r="B232" s="74"/>
      <c r="C232" s="75"/>
      <c r="D232" s="75"/>
      <c r="E232" s="75"/>
    </row>
    <row r="233" ht="15.75" customHeight="1">
      <c r="A233" s="75"/>
      <c r="B233" s="74"/>
      <c r="C233" s="75"/>
      <c r="D233" s="75"/>
      <c r="E233" s="75"/>
    </row>
    <row r="234" ht="15.75" customHeight="1">
      <c r="A234" s="75"/>
      <c r="B234" s="74"/>
      <c r="C234" s="75"/>
      <c r="D234" s="75"/>
      <c r="E234" s="75"/>
    </row>
    <row r="235" ht="15.75" customHeight="1">
      <c r="A235" s="75"/>
      <c r="B235" s="74"/>
      <c r="C235" s="75"/>
      <c r="D235" s="75"/>
      <c r="E235" s="75"/>
    </row>
    <row r="236" ht="15.75" customHeight="1">
      <c r="A236" s="75"/>
      <c r="B236" s="74"/>
      <c r="C236" s="75"/>
      <c r="D236" s="75"/>
      <c r="E236" s="75"/>
    </row>
    <row r="237" ht="15.75" customHeight="1">
      <c r="A237" s="75"/>
      <c r="B237" s="74"/>
      <c r="C237" s="75"/>
      <c r="D237" s="75"/>
      <c r="E237" s="75"/>
    </row>
    <row r="238" ht="15.75" customHeight="1">
      <c r="A238" s="75"/>
      <c r="B238" s="74"/>
      <c r="C238" s="75"/>
      <c r="D238" s="75"/>
      <c r="E238" s="75"/>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4.43" defaultRowHeight="15.0" outlineLevelCol="2"/>
  <cols>
    <col customWidth="1" min="1" max="1" width="6.14"/>
    <col customWidth="1" min="2" max="2" width="5.71"/>
    <col customWidth="1" min="3" max="3" width="5.0"/>
    <col customWidth="1" min="4" max="4" width="6.43"/>
    <col customWidth="1" min="5" max="5" width="6.14"/>
    <col customWidth="1" min="6" max="6" width="34.86"/>
    <col customWidth="1" min="8" max="8" width="17.14"/>
    <col customWidth="1" min="9" max="13" width="14.14"/>
    <col customWidth="1" min="15" max="17" width="60.43"/>
  </cols>
  <sheetData>
    <row r="1" ht="15.75" customHeight="1">
      <c r="A1" s="6"/>
      <c r="B1" s="6"/>
      <c r="C1" s="6"/>
      <c r="D1" s="6"/>
      <c r="E1" s="6"/>
      <c r="F1" s="6"/>
      <c r="G1" s="100" t="s">
        <v>860</v>
      </c>
      <c r="H1" s="6" t="s">
        <v>862</v>
      </c>
      <c r="I1" s="6" t="s">
        <v>863</v>
      </c>
      <c r="J1" s="6" t="s">
        <v>864</v>
      </c>
      <c r="K1" s="6" t="s">
        <v>866</v>
      </c>
      <c r="L1" s="6"/>
      <c r="M1" s="6"/>
      <c r="N1" s="6"/>
      <c r="O1" s="6"/>
      <c r="P1" s="6"/>
      <c r="Q1" s="81"/>
      <c r="R1" s="6"/>
      <c r="S1" s="6"/>
      <c r="T1" s="6"/>
      <c r="U1" s="6"/>
      <c r="V1" s="6"/>
      <c r="W1" s="6"/>
      <c r="X1" s="6"/>
      <c r="Y1" s="6"/>
      <c r="Z1" s="6"/>
      <c r="AA1" s="6"/>
      <c r="AB1" s="6"/>
    </row>
    <row r="2" ht="15.75" customHeight="1">
      <c r="B2" s="6"/>
      <c r="C2" s="6" t="s">
        <v>601</v>
      </c>
      <c r="G2" s="101"/>
      <c r="Q2" s="73"/>
    </row>
    <row r="3" ht="15.75" customHeight="1">
      <c r="B3" s="6"/>
      <c r="C3" s="6"/>
      <c r="D3" s="15" t="s">
        <v>871</v>
      </c>
      <c r="G3" s="101">
        <v>0.02</v>
      </c>
      <c r="H3" s="15">
        <v>4.0</v>
      </c>
      <c r="I3" s="15">
        <v>6.0</v>
      </c>
      <c r="J3" s="102"/>
      <c r="K3" s="102"/>
      <c r="Q3" s="73"/>
    </row>
    <row r="4" ht="15.75" customHeight="1">
      <c r="B4" s="6"/>
      <c r="C4" s="6"/>
      <c r="D4" s="103" t="s">
        <v>874</v>
      </c>
      <c r="E4" s="103"/>
      <c r="F4" s="103"/>
      <c r="G4" s="101">
        <v>0.3</v>
      </c>
      <c r="H4" s="15">
        <f>SUM(H5:H7)</f>
        <v>8</v>
      </c>
      <c r="I4" s="15">
        <v>5.0</v>
      </c>
      <c r="Q4" s="73"/>
    </row>
    <row r="5" ht="15.75" customHeight="1">
      <c r="B5" s="6"/>
      <c r="C5" s="6"/>
      <c r="E5" s="15" t="s">
        <v>526</v>
      </c>
      <c r="G5" s="101"/>
      <c r="H5" s="15">
        <v>1.0</v>
      </c>
      <c r="Q5" s="73"/>
    </row>
    <row r="6" ht="15.75" customHeight="1">
      <c r="B6" s="6"/>
      <c r="C6" s="6"/>
      <c r="E6" s="15" t="s">
        <v>877</v>
      </c>
      <c r="G6" s="101"/>
      <c r="H6" s="15">
        <v>4.0</v>
      </c>
      <c r="Q6" s="73"/>
    </row>
    <row r="7" ht="15.75" customHeight="1">
      <c r="B7" s="6"/>
      <c r="C7" s="6"/>
      <c r="E7" s="15" t="s">
        <v>879</v>
      </c>
      <c r="G7" s="101"/>
      <c r="H7" s="15">
        <v>3.0</v>
      </c>
      <c r="K7" s="15" t="s">
        <v>880</v>
      </c>
      <c r="Q7" s="73"/>
    </row>
    <row r="8" ht="15.75" customHeight="1">
      <c r="B8" s="6"/>
      <c r="C8" s="6"/>
      <c r="D8" s="15" t="s">
        <v>881</v>
      </c>
      <c r="G8" s="101"/>
      <c r="Q8" s="73"/>
    </row>
    <row r="9" ht="15.75" customHeight="1">
      <c r="B9" s="6"/>
      <c r="C9" s="6"/>
      <c r="E9" s="15" t="s">
        <v>883</v>
      </c>
      <c r="G9" s="90" t="s">
        <v>884</v>
      </c>
      <c r="H9" s="15">
        <v>2.0</v>
      </c>
      <c r="I9" s="15">
        <v>9.0</v>
      </c>
      <c r="Q9" s="73"/>
    </row>
    <row r="10" ht="15.75" customHeight="1">
      <c r="B10" s="6"/>
      <c r="C10" s="6"/>
      <c r="E10" s="104" t="s">
        <v>123</v>
      </c>
      <c r="F10" s="104"/>
      <c r="G10" s="90" t="s">
        <v>884</v>
      </c>
      <c r="H10" s="15">
        <v>2.0</v>
      </c>
      <c r="I10" s="15">
        <v>3.0</v>
      </c>
      <c r="Q10" s="73"/>
    </row>
    <row r="11" ht="15.75" customHeight="1">
      <c r="A11" s="6"/>
      <c r="B11" s="6"/>
      <c r="E11" s="104" t="s">
        <v>887</v>
      </c>
      <c r="F11" s="104"/>
      <c r="G11" s="90" t="s">
        <v>888</v>
      </c>
      <c r="H11" s="15">
        <v>2.0</v>
      </c>
      <c r="I11" s="15">
        <v>4.0</v>
      </c>
      <c r="K11" s="15" t="s">
        <v>889</v>
      </c>
      <c r="Q11" s="73"/>
    </row>
    <row r="12" ht="15.75" customHeight="1">
      <c r="A12" s="105"/>
      <c r="B12" s="105"/>
      <c r="C12" s="106"/>
      <c r="D12" s="106"/>
      <c r="E12" s="107" t="s">
        <v>890</v>
      </c>
      <c r="F12" s="107"/>
      <c r="G12" s="108">
        <v>0.015</v>
      </c>
      <c r="H12" s="106">
        <v>1.0</v>
      </c>
      <c r="I12" s="106">
        <v>2.0</v>
      </c>
      <c r="J12" s="106"/>
      <c r="K12" s="106"/>
      <c r="L12" s="106"/>
      <c r="M12" s="106"/>
      <c r="N12" s="106"/>
      <c r="O12" s="106"/>
      <c r="P12" s="106"/>
      <c r="Q12" s="109"/>
      <c r="R12" s="106"/>
      <c r="S12" s="106"/>
      <c r="T12" s="106"/>
      <c r="U12" s="106"/>
      <c r="V12" s="106"/>
      <c r="W12" s="106"/>
      <c r="X12" s="106"/>
      <c r="Y12" s="106"/>
      <c r="Z12" s="106"/>
      <c r="AA12" s="106"/>
      <c r="AB12" s="106"/>
    </row>
    <row r="13" ht="15.75" customHeight="1">
      <c r="A13" s="6"/>
      <c r="B13" s="6"/>
      <c r="D13" s="15"/>
      <c r="E13" s="103" t="s">
        <v>894</v>
      </c>
      <c r="F13" s="103"/>
      <c r="G13" s="90" t="s">
        <v>888</v>
      </c>
      <c r="H13" s="15">
        <v>0.3</v>
      </c>
      <c r="I13" s="15">
        <v>1.0</v>
      </c>
      <c r="K13" s="15" t="s">
        <v>889</v>
      </c>
      <c r="Q13" s="73"/>
    </row>
    <row r="14" ht="15.75" customHeight="1">
      <c r="A14" s="6"/>
      <c r="B14" s="6"/>
      <c r="D14" s="15"/>
      <c r="E14" s="15" t="s">
        <v>895</v>
      </c>
      <c r="G14" s="101"/>
      <c r="Q14" s="73"/>
    </row>
    <row r="15" ht="15.75" customHeight="1">
      <c r="A15" s="6"/>
      <c r="B15" s="6"/>
      <c r="D15" s="15" t="s">
        <v>897</v>
      </c>
      <c r="G15" s="101"/>
      <c r="Q15" s="73"/>
    </row>
    <row r="16" ht="15.75" customHeight="1">
      <c r="A16" s="6"/>
      <c r="B16" s="6"/>
      <c r="E16" s="15" t="s">
        <v>898</v>
      </c>
      <c r="G16" s="101">
        <v>0.02</v>
      </c>
      <c r="H16" s="15">
        <v>3.0</v>
      </c>
      <c r="I16" s="15">
        <v>7.0</v>
      </c>
      <c r="K16" s="15" t="s">
        <v>889</v>
      </c>
      <c r="Q16" s="73"/>
    </row>
    <row r="17" ht="15.75" customHeight="1">
      <c r="A17" s="6"/>
      <c r="B17" s="6"/>
      <c r="D17" s="15"/>
      <c r="E17" s="15" t="s">
        <v>899</v>
      </c>
      <c r="G17" s="101">
        <v>0.01</v>
      </c>
      <c r="H17" s="15">
        <v>3.0</v>
      </c>
      <c r="I17" s="15">
        <v>8.0</v>
      </c>
      <c r="K17" s="15" t="s">
        <v>889</v>
      </c>
      <c r="Q17" s="73"/>
    </row>
    <row r="18" ht="15.75" customHeight="1">
      <c r="A18" s="6"/>
      <c r="B18" s="6"/>
      <c r="D18" s="15" t="s">
        <v>902</v>
      </c>
      <c r="G18" s="90" t="s">
        <v>884</v>
      </c>
      <c r="H18" s="15">
        <v>2.0</v>
      </c>
      <c r="I18" s="15">
        <v>10.0</v>
      </c>
      <c r="Q18" s="73"/>
    </row>
    <row r="19" ht="15.75" customHeight="1">
      <c r="A19" s="6"/>
      <c r="B19" s="6"/>
      <c r="G19" s="101"/>
      <c r="Q19" s="73"/>
    </row>
    <row r="20" ht="15.75" customHeight="1">
      <c r="A20" s="6"/>
      <c r="B20" s="6"/>
      <c r="G20" s="101"/>
      <c r="H20" s="6">
        <f>sum(H3:H18)-H4</f>
        <v>27.3</v>
      </c>
      <c r="Q20" s="73"/>
    </row>
    <row r="21" ht="15.75" customHeight="1">
      <c r="A21" s="6"/>
      <c r="B21" s="6"/>
      <c r="G21" s="101"/>
      <c r="Q21" s="73"/>
    </row>
    <row r="22" ht="15.75" customHeight="1">
      <c r="A22" s="6"/>
      <c r="B22" s="6"/>
      <c r="C22" s="15" t="s">
        <v>908</v>
      </c>
      <c r="G22" s="101"/>
      <c r="Q22" s="73"/>
    </row>
    <row r="23" ht="15.75" customHeight="1">
      <c r="A23" s="6"/>
      <c r="B23" s="6"/>
      <c r="D23" s="106" t="s">
        <v>909</v>
      </c>
      <c r="G23" s="101"/>
      <c r="Q23" s="73"/>
    </row>
    <row r="24" ht="15.75" customHeight="1">
      <c r="A24" s="6"/>
      <c r="B24" s="6"/>
      <c r="D24" s="106" t="s">
        <v>912</v>
      </c>
      <c r="G24" s="101"/>
      <c r="Q24" s="73"/>
    </row>
    <row r="25" ht="15.75" customHeight="1">
      <c r="A25" s="6"/>
      <c r="B25" s="6"/>
      <c r="D25" s="106" t="s">
        <v>913</v>
      </c>
      <c r="G25" s="101"/>
      <c r="Q25" s="73"/>
    </row>
    <row r="26" ht="15.75" customHeight="1">
      <c r="A26" s="6"/>
      <c r="B26" s="6"/>
      <c r="D26" s="106" t="s">
        <v>914</v>
      </c>
      <c r="G26" s="101"/>
      <c r="Q26" s="73"/>
    </row>
    <row r="27" ht="15.75" customHeight="1">
      <c r="A27" s="6"/>
      <c r="B27" s="6"/>
      <c r="D27" s="15" t="s">
        <v>915</v>
      </c>
      <c r="G27" s="101"/>
      <c r="Q27" s="73"/>
    </row>
    <row r="28" ht="15.75" customHeight="1">
      <c r="A28" s="6"/>
      <c r="B28" s="6"/>
      <c r="D28" s="15" t="s">
        <v>917</v>
      </c>
      <c r="G28" s="101"/>
      <c r="Q28" s="73"/>
    </row>
    <row r="29" ht="15.75" customHeight="1">
      <c r="A29" s="6"/>
      <c r="B29" s="6"/>
      <c r="G29" s="101"/>
      <c r="Q29" s="73"/>
    </row>
    <row r="30" ht="15.75" customHeight="1">
      <c r="A30" s="6"/>
      <c r="B30" s="6"/>
      <c r="C30" s="15" t="s">
        <v>918</v>
      </c>
      <c r="G30" s="101"/>
      <c r="Q30" s="73"/>
    </row>
    <row r="31" ht="15.75" customHeight="1">
      <c r="A31" s="6"/>
      <c r="B31" s="6"/>
      <c r="D31" s="15" t="s">
        <v>919</v>
      </c>
      <c r="G31" s="101"/>
      <c r="Q31" s="73"/>
    </row>
    <row r="32" ht="15.75" customHeight="1">
      <c r="A32" s="6"/>
      <c r="B32" s="6"/>
      <c r="G32" s="101"/>
      <c r="Q32" s="73"/>
    </row>
    <row r="33" ht="15.75" customHeight="1">
      <c r="A33" s="6"/>
      <c r="B33" s="6"/>
      <c r="G33" s="101"/>
      <c r="Q33" s="73"/>
    </row>
    <row r="34" ht="15.75" customHeight="1">
      <c r="A34" s="6"/>
      <c r="B34" s="6"/>
      <c r="G34" s="101"/>
      <c r="Q34" s="73"/>
    </row>
    <row r="35" ht="15.75" customHeight="1">
      <c r="A35" s="6"/>
      <c r="B35" s="6"/>
      <c r="G35" s="101"/>
      <c r="Q35" s="73"/>
    </row>
    <row r="36" ht="15.75" customHeight="1">
      <c r="A36" s="6"/>
      <c r="B36" s="6"/>
      <c r="G36" s="101"/>
      <c r="Q36" s="73"/>
    </row>
    <row r="37" ht="15.75" customHeight="1">
      <c r="A37" s="6"/>
      <c r="B37" s="6"/>
      <c r="G37" s="101"/>
      <c r="Q37" s="73"/>
    </row>
    <row r="38" ht="15.75" customHeight="1">
      <c r="A38" s="6"/>
      <c r="B38" s="6"/>
      <c r="G38" s="101"/>
      <c r="Q38" s="73"/>
    </row>
    <row r="39" ht="15.75" customHeight="1">
      <c r="A39" s="6"/>
      <c r="B39" s="6"/>
      <c r="G39" s="101"/>
      <c r="Q39" s="73"/>
    </row>
    <row r="40" ht="15.75" customHeight="1">
      <c r="A40" s="6"/>
      <c r="B40" s="6"/>
      <c r="G40" s="101"/>
      <c r="Q40" s="73"/>
    </row>
    <row r="41" ht="15.75" customHeight="1">
      <c r="A41" s="6"/>
      <c r="B41" s="6"/>
      <c r="G41" s="101"/>
      <c r="Q41" s="73"/>
    </row>
    <row r="42" ht="15.75" customHeight="1">
      <c r="A42" s="6"/>
      <c r="B42" s="6"/>
      <c r="G42" s="101"/>
      <c r="Q42" s="73"/>
    </row>
    <row r="43" ht="15.75" customHeight="1">
      <c r="A43" s="6"/>
      <c r="B43" s="6"/>
      <c r="G43" s="101"/>
      <c r="Q43" s="73"/>
    </row>
    <row r="44" ht="15.75" customHeight="1">
      <c r="A44" s="6"/>
      <c r="B44" s="6"/>
      <c r="G44" s="101"/>
      <c r="Q44" s="73"/>
    </row>
    <row r="45" ht="15.75" customHeight="1">
      <c r="A45" s="6"/>
      <c r="B45" s="6"/>
      <c r="G45" s="101"/>
      <c r="Q45" s="73"/>
    </row>
    <row r="46" ht="15.75" customHeight="1">
      <c r="A46" s="6"/>
      <c r="B46" s="6"/>
      <c r="G46" s="101"/>
      <c r="Q46" s="73"/>
    </row>
    <row r="47" ht="15.75" customHeight="1">
      <c r="A47" s="6"/>
      <c r="B47" s="6"/>
      <c r="G47" s="101"/>
      <c r="Q47" s="73"/>
    </row>
    <row r="48" ht="15.75" customHeight="1">
      <c r="A48" s="6"/>
      <c r="B48" s="6"/>
      <c r="G48" s="101"/>
      <c r="Q48" s="73"/>
    </row>
    <row r="49" ht="15.75" customHeight="1">
      <c r="A49" s="6"/>
      <c r="B49" s="6"/>
      <c r="G49" s="101"/>
      <c r="Q49" s="73"/>
    </row>
    <row r="50" ht="15.75" customHeight="1">
      <c r="A50" s="6"/>
      <c r="B50" s="6"/>
      <c r="G50" s="101"/>
      <c r="Q50" s="73"/>
    </row>
    <row r="51" ht="15.75" customHeight="1">
      <c r="A51" s="6"/>
      <c r="B51" s="6"/>
      <c r="G51" s="101"/>
      <c r="Q51" s="73"/>
    </row>
    <row r="52" ht="15.75" customHeight="1">
      <c r="A52" s="6"/>
      <c r="B52" s="6"/>
      <c r="G52" s="101"/>
      <c r="Q52" s="73"/>
    </row>
    <row r="53" ht="15.75" customHeight="1">
      <c r="A53" s="6"/>
      <c r="B53" s="6"/>
      <c r="G53" s="101"/>
      <c r="Q53" s="73"/>
    </row>
    <row r="54" ht="15.75" customHeight="1">
      <c r="A54" s="6"/>
      <c r="B54" s="6"/>
      <c r="G54" s="101"/>
      <c r="Q54" s="73"/>
    </row>
    <row r="55" ht="15.75" customHeight="1">
      <c r="A55" s="6"/>
      <c r="B55" s="6"/>
      <c r="G55" s="101"/>
      <c r="Q55" s="73"/>
    </row>
    <row r="56" ht="15.75" customHeight="1">
      <c r="A56" s="6"/>
      <c r="B56" s="6"/>
      <c r="G56" s="101"/>
      <c r="Q56" s="73"/>
    </row>
    <row r="57" ht="15.75" customHeight="1">
      <c r="A57" s="6"/>
      <c r="B57" s="6"/>
      <c r="G57" s="101"/>
      <c r="Q57" s="73"/>
    </row>
    <row r="58" ht="15.75" customHeight="1">
      <c r="A58" s="6"/>
      <c r="B58" s="6"/>
      <c r="G58" s="101"/>
      <c r="Q58" s="73"/>
    </row>
    <row r="59" ht="15.75" customHeight="1">
      <c r="A59" s="6"/>
      <c r="B59" s="6"/>
      <c r="G59" s="101"/>
      <c r="Q59" s="73"/>
    </row>
    <row r="60" ht="15.75" customHeight="1">
      <c r="A60" s="6"/>
      <c r="B60" s="6"/>
      <c r="G60" s="101"/>
      <c r="Q60" s="73"/>
    </row>
    <row r="61" ht="15.75" customHeight="1">
      <c r="A61" s="6"/>
      <c r="B61" s="6"/>
      <c r="G61" s="101"/>
      <c r="Q61" s="73"/>
    </row>
    <row r="62" ht="15.75" customHeight="1">
      <c r="A62" s="6"/>
      <c r="B62" s="6"/>
      <c r="G62" s="101"/>
      <c r="Q62" s="73"/>
    </row>
    <row r="63" ht="15.75" customHeight="1">
      <c r="A63" s="6"/>
      <c r="B63" s="6"/>
      <c r="G63" s="101"/>
      <c r="Q63" s="73"/>
    </row>
    <row r="64" ht="15.75" customHeight="1">
      <c r="A64" s="6"/>
      <c r="B64" s="6"/>
      <c r="G64" s="101"/>
      <c r="Q64" s="73"/>
    </row>
    <row r="65" ht="15.75" customHeight="1">
      <c r="A65" s="6"/>
      <c r="B65" s="6"/>
      <c r="G65" s="101"/>
      <c r="Q65" s="73"/>
    </row>
    <row r="66" ht="15.75" customHeight="1">
      <c r="A66" s="6"/>
      <c r="B66" s="6"/>
      <c r="G66" s="101"/>
      <c r="Q66" s="73"/>
    </row>
    <row r="67" ht="15.75" customHeight="1">
      <c r="A67" s="6"/>
      <c r="B67" s="6"/>
      <c r="G67" s="101"/>
      <c r="Q67" s="73"/>
    </row>
    <row r="68" ht="15.75" customHeight="1">
      <c r="A68" s="6"/>
      <c r="B68" s="6"/>
      <c r="G68" s="101"/>
      <c r="Q68" s="73"/>
    </row>
    <row r="69" ht="15.75" customHeight="1">
      <c r="A69" s="6"/>
      <c r="B69" s="6"/>
      <c r="G69" s="101"/>
      <c r="Q69" s="73"/>
    </row>
    <row r="70" ht="15.75" customHeight="1">
      <c r="A70" s="6"/>
      <c r="B70" s="6"/>
      <c r="G70" s="101"/>
      <c r="Q70" s="73"/>
    </row>
    <row r="71" ht="15.75" customHeight="1">
      <c r="A71" s="6"/>
      <c r="B71" s="6"/>
      <c r="G71" s="101"/>
      <c r="Q71" s="73"/>
    </row>
    <row r="72" ht="15.75" customHeight="1">
      <c r="A72" s="6"/>
      <c r="B72" s="6"/>
      <c r="G72" s="101"/>
      <c r="Q72" s="73"/>
    </row>
    <row r="73" ht="15.75" customHeight="1">
      <c r="A73" s="6"/>
      <c r="B73" s="6"/>
      <c r="G73" s="101"/>
      <c r="Q73" s="73"/>
    </row>
    <row r="74" ht="15.75" customHeight="1">
      <c r="A74" s="6"/>
      <c r="B74" s="6"/>
      <c r="G74" s="101"/>
      <c r="Q74" s="73"/>
    </row>
    <row r="75" ht="15.75" customHeight="1">
      <c r="A75" s="6"/>
      <c r="B75" s="6"/>
      <c r="G75" s="101"/>
      <c r="Q75" s="73"/>
    </row>
    <row r="76" ht="15.75" customHeight="1">
      <c r="A76" s="6"/>
      <c r="B76" s="6"/>
      <c r="G76" s="101"/>
      <c r="Q76" s="73"/>
    </row>
    <row r="77" ht="15.75" customHeight="1">
      <c r="A77" s="6"/>
      <c r="B77" s="6"/>
      <c r="G77" s="101"/>
      <c r="Q77" s="73"/>
    </row>
    <row r="78" ht="15.75" customHeight="1">
      <c r="A78" s="6"/>
      <c r="B78" s="6"/>
      <c r="G78" s="101"/>
      <c r="Q78" s="73"/>
    </row>
    <row r="79" ht="15.75" customHeight="1">
      <c r="A79" s="6"/>
      <c r="B79" s="6"/>
      <c r="G79" s="101"/>
      <c r="Q79" s="73"/>
    </row>
    <row r="80" ht="15.75" customHeight="1">
      <c r="A80" s="6"/>
      <c r="B80" s="6"/>
      <c r="G80" s="101"/>
      <c r="Q80" s="73"/>
    </row>
    <row r="81" ht="15.75" customHeight="1">
      <c r="A81" s="6"/>
      <c r="B81" s="6"/>
      <c r="G81" s="101"/>
      <c r="Q81" s="73"/>
    </row>
    <row r="82" ht="15.75" customHeight="1">
      <c r="A82" s="6"/>
      <c r="B82" s="6"/>
      <c r="G82" s="101"/>
      <c r="Q82" s="73"/>
    </row>
    <row r="83" ht="15.75" customHeight="1">
      <c r="A83" s="6"/>
      <c r="B83" s="6"/>
      <c r="G83" s="101"/>
      <c r="Q83" s="73"/>
    </row>
    <row r="84" ht="15.75" customHeight="1">
      <c r="A84" s="6"/>
      <c r="B84" s="6"/>
      <c r="G84" s="101"/>
      <c r="Q84" s="73"/>
    </row>
    <row r="85" ht="15.75" customHeight="1">
      <c r="A85" s="6"/>
      <c r="B85" s="6"/>
      <c r="G85" s="101"/>
      <c r="Q85" s="73"/>
    </row>
    <row r="86" ht="15.75" customHeight="1">
      <c r="A86" s="6"/>
      <c r="B86" s="6"/>
      <c r="G86" s="101"/>
      <c r="Q86" s="73"/>
    </row>
    <row r="87" ht="15.75" customHeight="1">
      <c r="A87" s="6"/>
      <c r="B87" s="6"/>
      <c r="G87" s="101"/>
      <c r="Q87" s="73"/>
    </row>
    <row r="88" ht="15.75" customHeight="1">
      <c r="A88" s="6"/>
      <c r="B88" s="6"/>
      <c r="G88" s="101"/>
      <c r="Q88" s="73"/>
    </row>
    <row r="89" ht="15.75" customHeight="1">
      <c r="A89" s="6"/>
      <c r="B89" s="6"/>
      <c r="G89" s="101"/>
      <c r="Q89" s="73"/>
    </row>
    <row r="90" ht="15.75" customHeight="1">
      <c r="A90" s="6"/>
      <c r="B90" s="6"/>
      <c r="G90" s="101"/>
      <c r="Q90" s="73"/>
    </row>
    <row r="91" ht="15.75" customHeight="1">
      <c r="A91" s="6"/>
      <c r="B91" s="6"/>
      <c r="G91" s="101"/>
      <c r="Q91" s="73"/>
    </row>
    <row r="92" ht="15.75" customHeight="1">
      <c r="A92" s="6"/>
      <c r="B92" s="6"/>
      <c r="G92" s="101"/>
      <c r="Q92" s="73"/>
    </row>
    <row r="93" ht="15.75" customHeight="1">
      <c r="A93" s="6"/>
      <c r="B93" s="6"/>
      <c r="G93" s="101"/>
      <c r="Q93" s="73"/>
    </row>
    <row r="94" ht="15.75" customHeight="1">
      <c r="A94" s="6"/>
      <c r="B94" s="6"/>
      <c r="G94" s="101"/>
      <c r="Q94" s="73"/>
    </row>
    <row r="95" ht="15.75" customHeight="1">
      <c r="A95" s="6"/>
      <c r="B95" s="6"/>
      <c r="G95" s="101"/>
      <c r="Q95" s="73"/>
    </row>
    <row r="96" ht="15.75" customHeight="1">
      <c r="A96" s="6"/>
      <c r="B96" s="6"/>
      <c r="G96" s="101"/>
      <c r="Q96" s="73"/>
    </row>
    <row r="97" ht="15.75" customHeight="1">
      <c r="A97" s="6"/>
      <c r="B97" s="6"/>
      <c r="G97" s="101"/>
      <c r="Q97" s="73"/>
    </row>
    <row r="98" ht="15.75" customHeight="1">
      <c r="A98" s="6"/>
      <c r="B98" s="6"/>
      <c r="G98" s="101"/>
      <c r="Q98" s="73"/>
    </row>
    <row r="99" ht="15.75" customHeight="1">
      <c r="A99" s="6"/>
      <c r="B99" s="6"/>
      <c r="G99" s="101"/>
      <c r="Q99" s="73"/>
    </row>
    <row r="100" ht="15.75" customHeight="1">
      <c r="A100" s="6"/>
      <c r="B100" s="6"/>
      <c r="G100" s="101"/>
      <c r="Q100" s="73"/>
    </row>
    <row r="101" ht="15.75" customHeight="1">
      <c r="A101" s="6"/>
      <c r="B101" s="6"/>
      <c r="G101" s="101"/>
      <c r="Q101" s="73"/>
    </row>
    <row r="102" ht="15.75" customHeight="1">
      <c r="A102" s="6"/>
      <c r="B102" s="6"/>
      <c r="G102" s="101"/>
      <c r="Q102" s="73"/>
    </row>
    <row r="103" ht="15.75" customHeight="1">
      <c r="A103" s="6"/>
      <c r="B103" s="6"/>
      <c r="G103" s="101"/>
      <c r="Q103" s="73"/>
    </row>
    <row r="104" ht="15.75" customHeight="1">
      <c r="A104" s="6"/>
      <c r="B104" s="6"/>
      <c r="G104" s="101"/>
      <c r="Q104" s="73"/>
    </row>
    <row r="105" ht="15.75" customHeight="1">
      <c r="A105" s="6"/>
      <c r="B105" s="6"/>
      <c r="G105" s="101"/>
      <c r="Q105" s="73"/>
    </row>
    <row r="106" ht="15.75" customHeight="1">
      <c r="A106" s="6"/>
      <c r="B106" s="6"/>
      <c r="G106" s="101"/>
      <c r="Q106" s="73"/>
    </row>
    <row r="107" ht="15.75" customHeight="1">
      <c r="A107" s="6"/>
      <c r="B107" s="6"/>
      <c r="G107" s="101"/>
      <c r="Q107" s="73"/>
    </row>
    <row r="108" ht="15.75" customHeight="1">
      <c r="A108" s="6"/>
      <c r="B108" s="6"/>
      <c r="G108" s="101"/>
      <c r="Q108" s="73"/>
    </row>
    <row r="109" ht="15.75" customHeight="1">
      <c r="A109" s="6"/>
      <c r="B109" s="6"/>
      <c r="G109" s="101"/>
      <c r="Q109" s="73"/>
    </row>
    <row r="110" ht="15.75" customHeight="1">
      <c r="A110" s="6"/>
      <c r="B110" s="6"/>
      <c r="G110" s="101"/>
      <c r="Q110" s="73"/>
    </row>
    <row r="111" ht="15.75" customHeight="1">
      <c r="A111" s="6"/>
      <c r="B111" s="6"/>
      <c r="G111" s="101"/>
      <c r="Q111" s="73"/>
    </row>
    <row r="112" ht="15.75" customHeight="1">
      <c r="A112" s="6"/>
      <c r="B112" s="6"/>
      <c r="G112" s="101"/>
      <c r="Q112" s="73"/>
    </row>
    <row r="113" ht="15.75" customHeight="1">
      <c r="A113" s="6"/>
      <c r="B113" s="6"/>
      <c r="G113" s="101"/>
      <c r="Q113" s="73"/>
    </row>
    <row r="114" ht="15.75" customHeight="1">
      <c r="A114" s="6"/>
      <c r="B114" s="6"/>
      <c r="G114" s="101"/>
      <c r="Q114" s="73"/>
    </row>
    <row r="115" ht="15.75" customHeight="1">
      <c r="A115" s="6"/>
      <c r="B115" s="6"/>
      <c r="G115" s="101"/>
      <c r="Q115" s="73"/>
    </row>
    <row r="116" ht="15.75" customHeight="1">
      <c r="A116" s="6"/>
      <c r="B116" s="6"/>
      <c r="G116" s="101"/>
      <c r="Q116" s="73"/>
    </row>
    <row r="117" ht="15.75" customHeight="1">
      <c r="A117" s="6"/>
      <c r="B117" s="6"/>
      <c r="G117" s="101"/>
      <c r="Q117" s="73"/>
    </row>
    <row r="118" ht="15.75" customHeight="1">
      <c r="A118" s="6"/>
      <c r="B118" s="6"/>
      <c r="G118" s="101"/>
      <c r="Q118" s="73"/>
    </row>
    <row r="119" ht="15.75" customHeight="1">
      <c r="A119" s="6"/>
      <c r="B119" s="6"/>
      <c r="G119" s="101"/>
      <c r="Q119" s="73"/>
    </row>
    <row r="120" ht="15.75" customHeight="1">
      <c r="A120" s="6"/>
      <c r="B120" s="6"/>
      <c r="G120" s="101"/>
      <c r="Q120" s="73"/>
    </row>
    <row r="121" ht="15.75" customHeight="1">
      <c r="A121" s="6"/>
      <c r="B121" s="6"/>
      <c r="G121" s="101"/>
      <c r="Q121" s="73"/>
    </row>
    <row r="122" ht="15.75" customHeight="1">
      <c r="A122" s="6"/>
      <c r="B122" s="6"/>
      <c r="G122" s="101"/>
      <c r="Q122" s="73"/>
    </row>
    <row r="123" ht="15.75" customHeight="1">
      <c r="A123" s="6"/>
      <c r="B123" s="6"/>
      <c r="G123" s="101"/>
      <c r="Q123" s="73"/>
    </row>
    <row r="124" ht="15.75" customHeight="1">
      <c r="A124" s="6"/>
      <c r="B124" s="6"/>
      <c r="G124" s="101"/>
      <c r="Q124" s="73"/>
    </row>
    <row r="125" ht="15.75" customHeight="1">
      <c r="A125" s="6"/>
      <c r="B125" s="6"/>
      <c r="G125" s="101"/>
      <c r="Q125" s="73"/>
    </row>
    <row r="126" ht="15.75" customHeight="1">
      <c r="A126" s="6"/>
      <c r="B126" s="6"/>
      <c r="G126" s="101"/>
      <c r="Q126" s="73"/>
    </row>
    <row r="127" ht="15.75" customHeight="1">
      <c r="A127" s="6"/>
      <c r="B127" s="6"/>
      <c r="G127" s="101"/>
      <c r="Q127" s="73"/>
    </row>
    <row r="128" ht="15.75" customHeight="1">
      <c r="A128" s="6"/>
      <c r="B128" s="6"/>
      <c r="G128" s="101"/>
      <c r="Q128" s="73"/>
    </row>
    <row r="129" ht="15.75" customHeight="1">
      <c r="A129" s="6"/>
      <c r="B129" s="6"/>
      <c r="G129" s="101"/>
      <c r="Q129" s="73"/>
    </row>
    <row r="130" ht="15.75" customHeight="1">
      <c r="A130" s="6"/>
      <c r="B130" s="6"/>
      <c r="G130" s="101"/>
      <c r="Q130" s="73"/>
    </row>
    <row r="131" ht="15.75" customHeight="1">
      <c r="A131" s="6"/>
      <c r="B131" s="6"/>
      <c r="G131" s="101"/>
      <c r="Q131" s="73"/>
    </row>
    <row r="132" ht="15.75" customHeight="1">
      <c r="A132" s="6"/>
      <c r="B132" s="6"/>
      <c r="G132" s="101"/>
      <c r="Q132" s="73"/>
    </row>
    <row r="133" ht="15.75" customHeight="1">
      <c r="A133" s="6"/>
      <c r="B133" s="6"/>
      <c r="G133" s="101"/>
      <c r="Q133" s="73"/>
    </row>
    <row r="134" ht="15.75" customHeight="1">
      <c r="A134" s="6"/>
      <c r="B134" s="6"/>
      <c r="G134" s="101"/>
      <c r="Q134" s="73"/>
    </row>
    <row r="135" ht="15.75" customHeight="1">
      <c r="A135" s="6"/>
      <c r="B135" s="6"/>
      <c r="G135" s="101"/>
      <c r="Q135" s="73"/>
    </row>
    <row r="136" ht="15.75" customHeight="1">
      <c r="A136" s="6"/>
      <c r="B136" s="6"/>
      <c r="G136" s="101"/>
      <c r="Q136" s="73"/>
    </row>
    <row r="137" ht="15.75" customHeight="1">
      <c r="A137" s="6"/>
      <c r="B137" s="6"/>
      <c r="G137" s="101"/>
      <c r="Q137" s="73"/>
    </row>
    <row r="138" ht="15.75" customHeight="1">
      <c r="A138" s="6"/>
      <c r="B138" s="6"/>
      <c r="G138" s="101"/>
      <c r="Q138" s="73"/>
    </row>
    <row r="139" ht="15.75" customHeight="1">
      <c r="A139" s="6"/>
      <c r="B139" s="6"/>
      <c r="G139" s="101"/>
      <c r="Q139" s="73"/>
    </row>
    <row r="140" ht="15.75" customHeight="1">
      <c r="A140" s="6"/>
      <c r="B140" s="6"/>
      <c r="G140" s="101"/>
      <c r="Q140" s="73"/>
    </row>
    <row r="141" ht="15.75" customHeight="1">
      <c r="A141" s="6"/>
      <c r="B141" s="6"/>
      <c r="G141" s="101"/>
      <c r="Q141" s="73"/>
    </row>
    <row r="142" ht="15.75" customHeight="1">
      <c r="A142" s="6"/>
      <c r="B142" s="6"/>
      <c r="G142" s="101"/>
      <c r="Q142" s="73"/>
    </row>
    <row r="143" ht="15.75" customHeight="1">
      <c r="A143" s="6"/>
      <c r="B143" s="6"/>
      <c r="G143" s="101"/>
      <c r="Q143" s="73"/>
    </row>
    <row r="144" ht="15.75" customHeight="1">
      <c r="A144" s="6"/>
      <c r="B144" s="6"/>
      <c r="G144" s="101"/>
      <c r="Q144" s="73"/>
    </row>
    <row r="145" ht="15.75" customHeight="1">
      <c r="A145" s="6"/>
      <c r="B145" s="6"/>
      <c r="G145" s="101"/>
      <c r="Q145" s="73"/>
    </row>
    <row r="146" ht="15.75" customHeight="1">
      <c r="A146" s="6"/>
      <c r="B146" s="6"/>
      <c r="G146" s="101"/>
      <c r="Q146" s="73"/>
    </row>
    <row r="147" ht="15.75" customHeight="1">
      <c r="A147" s="6"/>
      <c r="B147" s="6"/>
      <c r="G147" s="101"/>
      <c r="Q147" s="73"/>
    </row>
    <row r="148" ht="15.75" customHeight="1">
      <c r="A148" s="6"/>
      <c r="B148" s="6"/>
      <c r="G148" s="101"/>
      <c r="Q148" s="73"/>
    </row>
    <row r="149" ht="15.75" customHeight="1">
      <c r="A149" s="6"/>
      <c r="B149" s="6"/>
      <c r="G149" s="101"/>
      <c r="Q149" s="73"/>
    </row>
    <row r="150" ht="15.75" customHeight="1">
      <c r="A150" s="6"/>
      <c r="B150" s="6"/>
      <c r="G150" s="101"/>
      <c r="Q150" s="73"/>
    </row>
    <row r="151" ht="15.75" customHeight="1">
      <c r="A151" s="6"/>
      <c r="B151" s="6"/>
      <c r="G151" s="101"/>
      <c r="Q151" s="73"/>
    </row>
    <row r="152" ht="15.75" customHeight="1">
      <c r="A152" s="6"/>
      <c r="B152" s="6"/>
      <c r="G152" s="101"/>
      <c r="Q152" s="73"/>
    </row>
    <row r="153" ht="15.75" customHeight="1">
      <c r="A153" s="6"/>
      <c r="B153" s="6"/>
      <c r="G153" s="101"/>
      <c r="Q153" s="73"/>
    </row>
    <row r="154" ht="15.75" customHeight="1">
      <c r="A154" s="6"/>
      <c r="B154" s="6"/>
      <c r="G154" s="101"/>
      <c r="Q154" s="73"/>
    </row>
    <row r="155" ht="15.75" customHeight="1">
      <c r="A155" s="6"/>
      <c r="B155" s="6"/>
      <c r="G155" s="101"/>
      <c r="Q155" s="73"/>
    </row>
    <row r="156" ht="15.75" customHeight="1">
      <c r="A156" s="6"/>
      <c r="B156" s="6"/>
      <c r="G156" s="101"/>
      <c r="Q156" s="73"/>
    </row>
    <row r="157" ht="15.75" customHeight="1">
      <c r="A157" s="6"/>
      <c r="B157" s="6"/>
      <c r="G157" s="101"/>
      <c r="Q157" s="73"/>
    </row>
    <row r="158" ht="15.75" customHeight="1">
      <c r="A158" s="6"/>
      <c r="B158" s="6"/>
      <c r="G158" s="101"/>
      <c r="Q158" s="73"/>
    </row>
    <row r="159" ht="15.75" customHeight="1">
      <c r="A159" s="6"/>
      <c r="B159" s="6"/>
      <c r="G159" s="101"/>
      <c r="Q159" s="73"/>
    </row>
    <row r="160" ht="15.75" customHeight="1">
      <c r="A160" s="6"/>
      <c r="B160" s="6"/>
      <c r="G160" s="101"/>
      <c r="Q160" s="73"/>
    </row>
    <row r="161" ht="15.75" customHeight="1">
      <c r="A161" s="6"/>
      <c r="B161" s="6"/>
      <c r="G161" s="101"/>
      <c r="Q161" s="73"/>
    </row>
    <row r="162" ht="15.75" customHeight="1">
      <c r="A162" s="6"/>
      <c r="B162" s="6"/>
      <c r="G162" s="101"/>
      <c r="Q162" s="73"/>
    </row>
    <row r="163" ht="15.75" customHeight="1">
      <c r="A163" s="6"/>
      <c r="B163" s="6"/>
      <c r="G163" s="101"/>
      <c r="Q163" s="73"/>
    </row>
    <row r="164" ht="15.75" customHeight="1">
      <c r="A164" s="6"/>
      <c r="B164" s="6"/>
      <c r="G164" s="101"/>
      <c r="Q164" s="73"/>
    </row>
    <row r="165" ht="15.75" customHeight="1">
      <c r="A165" s="6"/>
      <c r="B165" s="6"/>
      <c r="G165" s="101"/>
      <c r="Q165" s="73"/>
    </row>
    <row r="166" ht="15.75" customHeight="1">
      <c r="A166" s="6"/>
      <c r="B166" s="6"/>
      <c r="G166" s="101"/>
      <c r="Q166" s="73"/>
    </row>
    <row r="167" ht="15.75" customHeight="1">
      <c r="A167" s="6"/>
      <c r="B167" s="6"/>
      <c r="G167" s="101"/>
      <c r="Q167" s="73"/>
    </row>
    <row r="168" ht="15.75" customHeight="1">
      <c r="A168" s="6"/>
      <c r="B168" s="6"/>
      <c r="G168" s="101"/>
      <c r="Q168" s="73"/>
    </row>
    <row r="169" ht="15.75" customHeight="1">
      <c r="A169" s="6"/>
      <c r="B169" s="6"/>
      <c r="G169" s="101"/>
      <c r="Q169" s="73"/>
    </row>
    <row r="170" ht="15.75" customHeight="1">
      <c r="A170" s="6"/>
      <c r="B170" s="6"/>
      <c r="G170" s="101"/>
      <c r="Q170" s="73"/>
    </row>
    <row r="171" ht="15.75" customHeight="1">
      <c r="A171" s="6"/>
      <c r="B171" s="6"/>
      <c r="G171" s="101"/>
      <c r="Q171" s="73"/>
    </row>
    <row r="172" ht="15.75" customHeight="1">
      <c r="A172" s="6"/>
      <c r="B172" s="6"/>
      <c r="G172" s="101"/>
      <c r="Q172" s="73"/>
    </row>
    <row r="173" ht="15.75" customHeight="1">
      <c r="A173" s="6"/>
      <c r="B173" s="6"/>
      <c r="G173" s="101"/>
      <c r="Q173" s="73"/>
    </row>
    <row r="174" ht="15.75" customHeight="1">
      <c r="A174" s="6"/>
      <c r="B174" s="6"/>
      <c r="G174" s="101"/>
      <c r="Q174" s="73"/>
    </row>
    <row r="175" ht="15.75" customHeight="1">
      <c r="A175" s="6"/>
      <c r="B175" s="6"/>
      <c r="G175" s="101"/>
      <c r="Q175" s="73"/>
    </row>
    <row r="176" ht="15.75" customHeight="1">
      <c r="A176" s="6"/>
      <c r="B176" s="6"/>
      <c r="G176" s="101"/>
      <c r="Q176" s="73"/>
    </row>
    <row r="177" ht="15.75" customHeight="1">
      <c r="A177" s="6"/>
      <c r="B177" s="6"/>
      <c r="G177" s="101"/>
      <c r="Q177" s="73"/>
    </row>
    <row r="178" ht="15.75" customHeight="1">
      <c r="A178" s="6"/>
      <c r="B178" s="6"/>
      <c r="G178" s="101"/>
      <c r="Q178" s="73"/>
    </row>
    <row r="179" ht="15.75" customHeight="1">
      <c r="A179" s="6"/>
      <c r="B179" s="6"/>
      <c r="G179" s="101"/>
      <c r="Q179" s="73"/>
    </row>
    <row r="180" ht="15.75" customHeight="1">
      <c r="A180" s="6"/>
      <c r="B180" s="6"/>
      <c r="G180" s="101"/>
      <c r="Q180" s="73"/>
    </row>
    <row r="181" ht="15.75" customHeight="1">
      <c r="A181" s="6"/>
      <c r="B181" s="6"/>
      <c r="G181" s="101"/>
      <c r="Q181" s="73"/>
    </row>
    <row r="182" ht="15.75" customHeight="1">
      <c r="A182" s="6"/>
      <c r="B182" s="6"/>
      <c r="G182" s="101"/>
      <c r="Q182" s="73"/>
    </row>
    <row r="183" ht="15.75" customHeight="1">
      <c r="A183" s="6"/>
      <c r="B183" s="6"/>
      <c r="G183" s="101"/>
      <c r="Q183" s="73"/>
    </row>
    <row r="184" ht="15.75" customHeight="1">
      <c r="A184" s="6"/>
      <c r="B184" s="6"/>
      <c r="G184" s="101"/>
      <c r="Q184" s="73"/>
    </row>
    <row r="185" ht="15.75" customHeight="1">
      <c r="A185" s="6"/>
      <c r="B185" s="6"/>
      <c r="G185" s="101"/>
      <c r="Q185" s="73"/>
    </row>
    <row r="186" ht="15.75" customHeight="1">
      <c r="A186" s="6"/>
      <c r="B186" s="6"/>
      <c r="G186" s="101"/>
      <c r="Q186" s="73"/>
    </row>
    <row r="187" ht="15.75" customHeight="1">
      <c r="A187" s="6"/>
      <c r="B187" s="6"/>
      <c r="G187" s="101"/>
      <c r="Q187" s="73"/>
    </row>
    <row r="188" ht="15.75" customHeight="1">
      <c r="A188" s="6"/>
      <c r="B188" s="6"/>
      <c r="G188" s="101"/>
      <c r="Q188" s="73"/>
    </row>
    <row r="189" ht="15.75" customHeight="1">
      <c r="A189" s="6"/>
      <c r="B189" s="6"/>
      <c r="G189" s="101"/>
      <c r="Q189" s="73"/>
    </row>
    <row r="190" ht="15.75" customHeight="1">
      <c r="A190" s="6"/>
      <c r="B190" s="6"/>
      <c r="G190" s="101"/>
      <c r="Q190" s="73"/>
    </row>
    <row r="191" ht="15.75" customHeight="1">
      <c r="A191" s="6"/>
      <c r="B191" s="6"/>
      <c r="G191" s="101"/>
      <c r="Q191" s="73"/>
    </row>
    <row r="192" ht="15.75" customHeight="1">
      <c r="A192" s="6"/>
      <c r="B192" s="6"/>
      <c r="G192" s="101"/>
      <c r="Q192" s="73"/>
    </row>
    <row r="193" ht="15.75" customHeight="1">
      <c r="A193" s="6"/>
      <c r="B193" s="6"/>
      <c r="G193" s="101"/>
      <c r="Q193" s="73"/>
    </row>
    <row r="194" ht="15.75" customHeight="1">
      <c r="A194" s="6"/>
      <c r="B194" s="6"/>
      <c r="G194" s="101"/>
      <c r="Q194" s="73"/>
    </row>
    <row r="195" ht="15.75" customHeight="1">
      <c r="A195" s="6"/>
      <c r="B195" s="6"/>
      <c r="G195" s="101"/>
      <c r="Q195" s="73"/>
    </row>
    <row r="196" ht="15.75" customHeight="1">
      <c r="A196" s="6"/>
      <c r="B196" s="6"/>
      <c r="G196" s="101"/>
      <c r="Q196" s="73"/>
    </row>
    <row r="197" ht="15.75" customHeight="1">
      <c r="A197" s="6"/>
      <c r="B197" s="6"/>
      <c r="G197" s="101"/>
      <c r="Q197" s="73"/>
    </row>
    <row r="198" ht="15.75" customHeight="1">
      <c r="A198" s="6"/>
      <c r="B198" s="6"/>
      <c r="G198" s="101"/>
      <c r="Q198" s="73"/>
    </row>
    <row r="199" ht="15.75" customHeight="1">
      <c r="A199" s="6"/>
      <c r="B199" s="6"/>
      <c r="G199" s="101"/>
      <c r="Q199" s="73"/>
    </row>
    <row r="200" ht="15.75" customHeight="1">
      <c r="A200" s="6"/>
      <c r="B200" s="6"/>
      <c r="G200" s="101"/>
      <c r="Q200" s="73"/>
    </row>
    <row r="201" ht="15.75" customHeight="1">
      <c r="A201" s="6"/>
      <c r="B201" s="6"/>
      <c r="G201" s="101"/>
      <c r="Q201" s="73"/>
    </row>
    <row r="202" ht="15.75" customHeight="1">
      <c r="A202" s="6"/>
      <c r="B202" s="6"/>
      <c r="G202" s="101"/>
      <c r="Q202" s="73"/>
    </row>
    <row r="203" ht="15.75" customHeight="1">
      <c r="A203" s="6"/>
      <c r="B203" s="6"/>
      <c r="G203" s="101"/>
      <c r="Q203" s="73"/>
    </row>
    <row r="204" ht="15.75" customHeight="1">
      <c r="A204" s="6"/>
      <c r="B204" s="6"/>
      <c r="G204" s="101"/>
      <c r="Q204" s="73"/>
    </row>
    <row r="205" ht="15.75" customHeight="1">
      <c r="A205" s="6"/>
      <c r="B205" s="6"/>
      <c r="G205" s="101"/>
      <c r="Q205" s="73"/>
    </row>
    <row r="206" ht="15.75" customHeight="1">
      <c r="A206" s="6"/>
      <c r="B206" s="6"/>
      <c r="G206" s="101"/>
      <c r="Q206" s="73"/>
    </row>
    <row r="207" ht="15.75" customHeight="1">
      <c r="A207" s="6"/>
      <c r="B207" s="6"/>
      <c r="G207" s="101"/>
      <c r="Q207" s="73"/>
    </row>
    <row r="208" ht="15.75" customHeight="1">
      <c r="A208" s="6"/>
      <c r="B208" s="6"/>
      <c r="G208" s="101"/>
      <c r="Q208" s="73"/>
    </row>
    <row r="209" ht="15.75" customHeight="1">
      <c r="A209" s="6"/>
      <c r="B209" s="6"/>
      <c r="G209" s="101"/>
      <c r="Q209" s="73"/>
    </row>
    <row r="210" ht="15.75" customHeight="1">
      <c r="A210" s="6"/>
      <c r="B210" s="6"/>
      <c r="G210" s="101"/>
      <c r="Q210" s="73"/>
    </row>
    <row r="211" ht="15.75" customHeight="1">
      <c r="A211" s="6"/>
      <c r="B211" s="6"/>
      <c r="G211" s="101"/>
      <c r="Q211" s="73"/>
    </row>
    <row r="212" ht="15.75" customHeight="1">
      <c r="A212" s="6"/>
      <c r="B212" s="6"/>
      <c r="G212" s="101"/>
      <c r="Q212" s="73"/>
    </row>
    <row r="213" ht="15.75" customHeight="1">
      <c r="A213" s="6"/>
      <c r="B213" s="6"/>
      <c r="G213" s="101"/>
      <c r="Q213" s="73"/>
    </row>
    <row r="214" ht="15.75" customHeight="1">
      <c r="A214" s="6"/>
      <c r="B214" s="6"/>
      <c r="G214" s="101"/>
      <c r="Q214" s="73"/>
    </row>
    <row r="215" ht="15.75" customHeight="1">
      <c r="A215" s="6"/>
      <c r="B215" s="6"/>
      <c r="G215" s="101"/>
      <c r="Q215" s="73"/>
    </row>
    <row r="216" ht="15.75" customHeight="1">
      <c r="A216" s="6"/>
      <c r="B216" s="6"/>
      <c r="G216" s="101"/>
      <c r="Q216" s="73"/>
    </row>
    <row r="217" ht="15.75" customHeight="1">
      <c r="A217" s="6"/>
      <c r="B217" s="6"/>
      <c r="G217" s="101"/>
      <c r="Q217" s="73"/>
    </row>
    <row r="218" ht="15.75" customHeight="1">
      <c r="A218" s="6"/>
      <c r="B218" s="6"/>
      <c r="G218" s="101"/>
      <c r="Q218" s="73"/>
    </row>
    <row r="219" ht="15.75" customHeight="1">
      <c r="A219" s="6"/>
      <c r="B219" s="6"/>
      <c r="G219" s="101"/>
      <c r="Q219" s="73"/>
    </row>
    <row r="220" ht="15.75" customHeight="1">
      <c r="A220" s="6"/>
      <c r="B220" s="6"/>
      <c r="G220" s="101"/>
      <c r="Q220" s="73"/>
    </row>
    <row r="221" ht="15.75" customHeight="1">
      <c r="A221" s="6"/>
      <c r="B221" s="6"/>
      <c r="G221" s="101"/>
      <c r="Q221" s="73"/>
    </row>
    <row r="222" ht="15.75" customHeight="1">
      <c r="A222" s="6"/>
      <c r="B222" s="6"/>
      <c r="G222" s="101"/>
      <c r="Q222" s="73"/>
    </row>
    <row r="223" ht="15.75" customHeight="1">
      <c r="A223" s="6"/>
      <c r="B223" s="6"/>
      <c r="G223" s="101"/>
      <c r="Q223" s="73"/>
    </row>
    <row r="224" ht="15.75" customHeight="1">
      <c r="A224" s="6"/>
      <c r="B224" s="6"/>
      <c r="G224" s="101"/>
      <c r="Q224" s="73"/>
    </row>
    <row r="225" ht="15.75" customHeight="1">
      <c r="A225" s="6"/>
      <c r="B225" s="6"/>
      <c r="G225" s="101"/>
      <c r="Q225" s="73"/>
    </row>
    <row r="226" ht="15.75" customHeight="1">
      <c r="A226" s="6"/>
      <c r="B226" s="6"/>
      <c r="G226" s="101"/>
      <c r="Q226" s="73"/>
    </row>
    <row r="227" ht="15.75" customHeight="1">
      <c r="A227" s="6"/>
      <c r="B227" s="6"/>
      <c r="G227" s="101"/>
      <c r="Q227" s="73"/>
    </row>
    <row r="228" ht="15.75" customHeight="1">
      <c r="A228" s="6"/>
      <c r="B228" s="6"/>
      <c r="G228" s="101"/>
      <c r="Q228" s="73"/>
    </row>
    <row r="229" ht="15.75" customHeight="1">
      <c r="A229" s="6"/>
      <c r="B229" s="6"/>
      <c r="G229" s="101"/>
      <c r="Q229" s="73"/>
    </row>
    <row r="230" ht="15.75" customHeight="1">
      <c r="A230" s="6"/>
      <c r="B230" s="6"/>
      <c r="G230" s="101"/>
      <c r="Q230" s="73"/>
    </row>
    <row r="231" ht="15.75" customHeight="1">
      <c r="A231" s="6"/>
      <c r="B231" s="6"/>
      <c r="G231" s="101"/>
      <c r="Q231" s="73"/>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outlineLevelCol="2"/>
  <cols>
    <col customWidth="1" min="1" max="3" width="14.43"/>
    <col customWidth="1" min="4" max="4" width="33.29"/>
    <col customWidth="1" min="5" max="6" width="36.71"/>
    <col customWidth="1" min="8" max="11" width="14.43" outlineLevel="1"/>
    <col customWidth="1" min="13" max="13" width="16.0"/>
    <col customWidth="1" min="14" max="14" width="33.0"/>
  </cols>
  <sheetData>
    <row r="1" ht="15.75" customHeight="1">
      <c r="A1" s="111" t="s">
        <v>1010</v>
      </c>
      <c r="B1" s="112"/>
      <c r="C1" s="112"/>
      <c r="D1" s="112"/>
      <c r="E1" s="112"/>
      <c r="F1" s="112"/>
      <c r="G1" s="112"/>
      <c r="H1" s="112"/>
      <c r="I1" s="112"/>
      <c r="J1" s="112"/>
      <c r="K1" s="112"/>
      <c r="L1" s="113"/>
      <c r="M1" s="114"/>
      <c r="N1" s="115"/>
      <c r="O1" s="115"/>
      <c r="P1" s="95"/>
      <c r="Q1" s="95"/>
      <c r="R1" s="95"/>
      <c r="S1" s="95"/>
      <c r="T1" s="95"/>
      <c r="U1" s="95"/>
      <c r="V1" s="95"/>
      <c r="W1" s="95"/>
      <c r="X1" s="95"/>
      <c r="Y1" s="95"/>
    </row>
    <row r="2" ht="15.75" customHeight="1">
      <c r="A2" s="116" t="s">
        <v>1015</v>
      </c>
      <c r="B2" s="117" t="s">
        <v>1017</v>
      </c>
      <c r="C2" s="117" t="s">
        <v>953</v>
      </c>
      <c r="D2" s="117" t="s">
        <v>2</v>
      </c>
      <c r="E2" s="117" t="s">
        <v>1020</v>
      </c>
      <c r="F2" s="117" t="s">
        <v>1021</v>
      </c>
      <c r="G2" s="117" t="s">
        <v>8</v>
      </c>
      <c r="H2" s="117" t="s">
        <v>1022</v>
      </c>
      <c r="I2" s="117" t="s">
        <v>1023</v>
      </c>
      <c r="J2" s="117" t="s">
        <v>1025</v>
      </c>
      <c r="K2" s="117" t="s">
        <v>6</v>
      </c>
      <c r="L2" s="119" t="s">
        <v>9</v>
      </c>
      <c r="M2" s="120" t="s">
        <v>1</v>
      </c>
      <c r="N2" s="116" t="s">
        <v>445</v>
      </c>
      <c r="O2" s="116" t="s">
        <v>1027</v>
      </c>
      <c r="P2" s="116"/>
      <c r="Q2" s="116"/>
      <c r="R2" s="116"/>
      <c r="S2" s="116"/>
      <c r="T2" s="116"/>
      <c r="U2" s="116"/>
      <c r="V2" s="116"/>
      <c r="W2" s="116"/>
      <c r="X2" s="116"/>
      <c r="Y2" s="116"/>
    </row>
    <row r="3" ht="15.75" customHeight="1">
      <c r="A3" s="123" t="s">
        <v>968</v>
      </c>
      <c r="B3" s="123" t="s">
        <v>1029</v>
      </c>
      <c r="C3" s="124"/>
      <c r="D3" s="125" t="s">
        <v>1030</v>
      </c>
      <c r="E3" s="125" t="s">
        <v>1031</v>
      </c>
      <c r="F3" s="125"/>
      <c r="G3" s="125">
        <f t="shared" ref="G3:G41" si="1">K3+H3</f>
        <v>28</v>
      </c>
      <c r="H3" s="125">
        <v>20.0</v>
      </c>
      <c r="I3" s="125">
        <v>1.0</v>
      </c>
      <c r="J3" s="125">
        <v>3.0</v>
      </c>
      <c r="K3" s="125">
        <f t="shared" ref="K3:K41" si="2">(6-I3)+(6-J3)</f>
        <v>8</v>
      </c>
      <c r="L3" s="133"/>
      <c r="M3" s="133" t="s">
        <v>1055</v>
      </c>
      <c r="N3" s="125"/>
      <c r="O3" s="125"/>
      <c r="P3" s="125"/>
      <c r="Q3" s="125"/>
      <c r="R3" s="125"/>
      <c r="S3" s="125"/>
      <c r="T3" s="125"/>
      <c r="U3" s="125"/>
      <c r="V3" s="125"/>
      <c r="W3" s="125"/>
      <c r="X3" s="125"/>
      <c r="Y3" s="125"/>
    </row>
    <row r="4" ht="15.75" customHeight="1">
      <c r="A4" s="134" t="s">
        <v>596</v>
      </c>
      <c r="B4" s="134" t="s">
        <v>1065</v>
      </c>
      <c r="C4" s="135"/>
      <c r="D4" s="136" t="s">
        <v>1067</v>
      </c>
      <c r="E4" s="136" t="s">
        <v>1070</v>
      </c>
      <c r="F4" s="136"/>
      <c r="G4" s="136">
        <f t="shared" si="1"/>
        <v>27</v>
      </c>
      <c r="H4" s="136">
        <v>18.0</v>
      </c>
      <c r="I4" s="136">
        <v>1.0</v>
      </c>
      <c r="J4" s="136">
        <v>2.0</v>
      </c>
      <c r="K4" s="136">
        <f t="shared" si="2"/>
        <v>9</v>
      </c>
      <c r="L4" s="137"/>
      <c r="M4" s="137" t="s">
        <v>449</v>
      </c>
      <c r="N4" s="136"/>
      <c r="O4" s="136"/>
      <c r="P4" s="136"/>
      <c r="Q4" s="136"/>
      <c r="R4" s="136"/>
      <c r="S4" s="136"/>
      <c r="T4" s="136"/>
      <c r="U4" s="136"/>
      <c r="V4" s="136"/>
      <c r="W4" s="136"/>
      <c r="X4" s="136"/>
      <c r="Y4" s="136"/>
    </row>
    <row r="5" ht="15.75" customHeight="1">
      <c r="A5" s="123" t="s">
        <v>968</v>
      </c>
      <c r="B5" s="138" t="s">
        <v>1091</v>
      </c>
      <c r="C5" s="124"/>
      <c r="D5" s="125" t="s">
        <v>1103</v>
      </c>
      <c r="E5" s="125"/>
      <c r="F5" s="125" t="s">
        <v>1104</v>
      </c>
      <c r="G5" s="125">
        <f t="shared" si="1"/>
        <v>26</v>
      </c>
      <c r="H5" s="125">
        <v>18.0</v>
      </c>
      <c r="I5" s="125">
        <v>1.0</v>
      </c>
      <c r="J5" s="125">
        <v>3.0</v>
      </c>
      <c r="K5" s="125">
        <f t="shared" si="2"/>
        <v>8</v>
      </c>
      <c r="L5" s="139"/>
      <c r="M5" s="133" t="s">
        <v>1037</v>
      </c>
      <c r="N5" s="123"/>
      <c r="O5" s="123"/>
      <c r="P5" s="123"/>
      <c r="Q5" s="123"/>
      <c r="R5" s="123"/>
      <c r="S5" s="123"/>
      <c r="T5" s="123"/>
      <c r="U5" s="123"/>
      <c r="V5" s="123"/>
      <c r="W5" s="123"/>
      <c r="X5" s="123"/>
      <c r="Y5" s="123"/>
    </row>
    <row r="6" ht="15.75" customHeight="1">
      <c r="A6" s="134" t="s">
        <v>968</v>
      </c>
      <c r="B6" s="134" t="s">
        <v>1116</v>
      </c>
      <c r="C6" s="135"/>
      <c r="D6" s="136" t="s">
        <v>1118</v>
      </c>
      <c r="E6" s="136"/>
      <c r="F6" s="136"/>
      <c r="G6" s="136">
        <f t="shared" si="1"/>
        <v>26</v>
      </c>
      <c r="H6" s="136">
        <v>18.0</v>
      </c>
      <c r="I6" s="136">
        <v>1.0</v>
      </c>
      <c r="J6" s="136">
        <v>3.0</v>
      </c>
      <c r="K6" s="136">
        <f t="shared" si="2"/>
        <v>8</v>
      </c>
      <c r="L6" s="137"/>
      <c r="M6" s="137" t="s">
        <v>1044</v>
      </c>
      <c r="N6" s="136"/>
      <c r="O6" s="136"/>
      <c r="P6" s="136"/>
      <c r="Q6" s="136"/>
      <c r="R6" s="136"/>
      <c r="S6" s="136"/>
      <c r="T6" s="136"/>
      <c r="U6" s="136"/>
      <c r="V6" s="136"/>
      <c r="W6" s="136"/>
      <c r="X6" s="136"/>
      <c r="Y6" s="136"/>
    </row>
    <row r="7" ht="15.75" customHeight="1">
      <c r="A7" s="141" t="s">
        <v>596</v>
      </c>
      <c r="B7" s="141" t="s">
        <v>1125</v>
      </c>
      <c r="C7" s="142"/>
      <c r="D7" s="143" t="s">
        <v>1129</v>
      </c>
      <c r="E7" s="143" t="s">
        <v>1130</v>
      </c>
      <c r="F7" s="143" t="s">
        <v>1131</v>
      </c>
      <c r="G7" s="143">
        <f t="shared" si="1"/>
        <v>26</v>
      </c>
      <c r="H7" s="143">
        <v>19.0</v>
      </c>
      <c r="I7" s="143">
        <v>1.0</v>
      </c>
      <c r="J7" s="143">
        <v>4.0</v>
      </c>
      <c r="K7" s="143">
        <f t="shared" si="2"/>
        <v>7</v>
      </c>
      <c r="L7" s="144"/>
      <c r="M7" s="145" t="s">
        <v>21</v>
      </c>
      <c r="N7" s="141"/>
      <c r="O7" s="141"/>
      <c r="P7" s="141"/>
      <c r="Q7" s="141"/>
      <c r="R7" s="141"/>
      <c r="S7" s="141"/>
      <c r="T7" s="141"/>
      <c r="U7" s="141"/>
      <c r="V7" s="141"/>
      <c r="W7" s="141"/>
      <c r="X7" s="141"/>
      <c r="Y7" s="141"/>
      <c r="Z7" s="147"/>
    </row>
    <row r="8" ht="15.75" customHeight="1">
      <c r="A8" s="148" t="s">
        <v>596</v>
      </c>
      <c r="B8" s="148" t="s">
        <v>1144</v>
      </c>
      <c r="C8" s="149"/>
      <c r="D8" s="150" t="s">
        <v>1147</v>
      </c>
      <c r="E8" s="151" t="s">
        <v>1152</v>
      </c>
      <c r="F8" s="151" t="s">
        <v>1156</v>
      </c>
      <c r="G8" s="151">
        <f t="shared" si="1"/>
        <v>25</v>
      </c>
      <c r="H8" s="151">
        <v>17.0</v>
      </c>
      <c r="I8" s="151">
        <v>3.0</v>
      </c>
      <c r="J8" s="151">
        <v>1.0</v>
      </c>
      <c r="K8" s="151">
        <f t="shared" si="2"/>
        <v>8</v>
      </c>
      <c r="L8" s="152"/>
      <c r="M8" s="153" t="s">
        <v>21</v>
      </c>
      <c r="N8" s="148"/>
      <c r="O8" s="148"/>
      <c r="P8" s="148"/>
      <c r="Q8" s="148"/>
      <c r="R8" s="148"/>
      <c r="S8" s="148"/>
      <c r="T8" s="148"/>
      <c r="U8" s="148"/>
      <c r="V8" s="148"/>
      <c r="W8" s="148"/>
      <c r="X8" s="148"/>
      <c r="Y8" s="148"/>
      <c r="Z8" s="147"/>
    </row>
    <row r="9" ht="15.75" customHeight="1">
      <c r="A9" s="141" t="s">
        <v>596</v>
      </c>
      <c r="B9" s="141" t="s">
        <v>1169</v>
      </c>
      <c r="C9" s="142"/>
      <c r="D9" s="143" t="s">
        <v>1170</v>
      </c>
      <c r="E9" s="143" t="s">
        <v>1171</v>
      </c>
      <c r="F9" s="143"/>
      <c r="G9" s="143">
        <f t="shared" si="1"/>
        <v>25</v>
      </c>
      <c r="H9" s="143">
        <v>16.0</v>
      </c>
      <c r="I9" s="143">
        <v>2.0</v>
      </c>
      <c r="J9" s="143">
        <v>1.0</v>
      </c>
      <c r="K9" s="143">
        <f t="shared" si="2"/>
        <v>9</v>
      </c>
      <c r="L9" s="145"/>
      <c r="M9" s="145" t="s">
        <v>1044</v>
      </c>
      <c r="N9" s="143"/>
      <c r="O9" s="143"/>
      <c r="P9" s="143"/>
      <c r="Q9" s="143"/>
      <c r="R9" s="143"/>
      <c r="S9" s="143"/>
      <c r="T9" s="143"/>
      <c r="U9" s="143"/>
      <c r="V9" s="143"/>
      <c r="W9" s="143"/>
      <c r="X9" s="143"/>
      <c r="Y9" s="143"/>
      <c r="Z9" s="147"/>
    </row>
    <row r="10" ht="15.75" customHeight="1">
      <c r="A10" s="134" t="s">
        <v>596</v>
      </c>
      <c r="B10" s="134" t="s">
        <v>1180</v>
      </c>
      <c r="C10" s="135"/>
      <c r="D10" s="136" t="s">
        <v>1182</v>
      </c>
      <c r="E10" s="136" t="s">
        <v>1183</v>
      </c>
      <c r="F10" s="136" t="s">
        <v>1184</v>
      </c>
      <c r="G10" s="136">
        <f t="shared" si="1"/>
        <v>23</v>
      </c>
      <c r="H10" s="136">
        <v>18.0</v>
      </c>
      <c r="I10" s="136">
        <v>5.0</v>
      </c>
      <c r="J10" s="136">
        <v>2.0</v>
      </c>
      <c r="K10" s="136">
        <f t="shared" si="2"/>
        <v>5</v>
      </c>
      <c r="L10" s="155">
        <v>0.2</v>
      </c>
      <c r="M10" s="137" t="s">
        <v>449</v>
      </c>
      <c r="N10" s="134" t="s">
        <v>1192</v>
      </c>
      <c r="O10" s="134"/>
      <c r="P10" s="134"/>
      <c r="Q10" s="134"/>
      <c r="R10" s="134"/>
      <c r="S10" s="134"/>
      <c r="T10" s="134"/>
      <c r="U10" s="134"/>
      <c r="V10" s="134"/>
      <c r="W10" s="134"/>
      <c r="X10" s="134"/>
      <c r="Y10" s="134"/>
    </row>
    <row r="11" ht="15.75" customHeight="1">
      <c r="A11" s="123" t="s">
        <v>596</v>
      </c>
      <c r="B11" s="123" t="s">
        <v>1195</v>
      </c>
      <c r="C11" s="124"/>
      <c r="D11" s="125" t="s">
        <v>1196</v>
      </c>
      <c r="E11" s="125" t="s">
        <v>1197</v>
      </c>
      <c r="F11" s="125" t="s">
        <v>1199</v>
      </c>
      <c r="G11" s="125">
        <f t="shared" si="1"/>
        <v>23</v>
      </c>
      <c r="H11" s="125">
        <v>17.0</v>
      </c>
      <c r="I11" s="125">
        <v>4.0</v>
      </c>
      <c r="J11" s="125">
        <v>2.0</v>
      </c>
      <c r="K11" s="125">
        <f t="shared" si="2"/>
        <v>6</v>
      </c>
      <c r="L11" s="139"/>
      <c r="M11" s="133" t="s">
        <v>449</v>
      </c>
      <c r="N11" s="123"/>
      <c r="O11" s="123"/>
      <c r="P11" s="123"/>
      <c r="Q11" s="123"/>
      <c r="R11" s="123"/>
      <c r="S11" s="123"/>
      <c r="T11" s="123"/>
      <c r="U11" s="123"/>
      <c r="V11" s="123"/>
      <c r="W11" s="123"/>
      <c r="X11" s="123"/>
      <c r="Y11" s="123"/>
    </row>
    <row r="12" ht="15.75" customHeight="1">
      <c r="A12" s="134" t="s">
        <v>27</v>
      </c>
      <c r="B12" s="134" t="s">
        <v>1205</v>
      </c>
      <c r="C12" s="135"/>
      <c r="D12" s="136" t="s">
        <v>1207</v>
      </c>
      <c r="E12" s="136" t="s">
        <v>1208</v>
      </c>
      <c r="F12" s="136" t="s">
        <v>119</v>
      </c>
      <c r="G12" s="136">
        <f t="shared" si="1"/>
        <v>23</v>
      </c>
      <c r="H12" s="136">
        <v>17.0</v>
      </c>
      <c r="I12" s="136">
        <v>2.0</v>
      </c>
      <c r="J12" s="136">
        <v>4.0</v>
      </c>
      <c r="K12" s="136">
        <f t="shared" si="2"/>
        <v>6</v>
      </c>
      <c r="L12" s="155">
        <v>0.0</v>
      </c>
      <c r="M12" s="137" t="s">
        <v>449</v>
      </c>
      <c r="N12" s="134" t="s">
        <v>1212</v>
      </c>
      <c r="O12" s="134"/>
      <c r="P12" s="134"/>
      <c r="Q12" s="134"/>
      <c r="R12" s="134"/>
      <c r="S12" s="134"/>
      <c r="T12" s="134"/>
      <c r="U12" s="134"/>
      <c r="V12" s="134"/>
      <c r="W12" s="134"/>
      <c r="X12" s="134"/>
      <c r="Y12" s="134"/>
    </row>
    <row r="13" ht="15.75" customHeight="1">
      <c r="A13" s="123" t="s">
        <v>596</v>
      </c>
      <c r="B13" s="123" t="s">
        <v>1217</v>
      </c>
      <c r="C13" s="158"/>
      <c r="D13" s="125" t="s">
        <v>1220</v>
      </c>
      <c r="E13" s="125" t="s">
        <v>1222</v>
      </c>
      <c r="F13" s="125" t="s">
        <v>1224</v>
      </c>
      <c r="G13" s="125">
        <f t="shared" si="1"/>
        <v>23</v>
      </c>
      <c r="H13" s="125">
        <v>16.0</v>
      </c>
      <c r="I13" s="125">
        <v>3.0</v>
      </c>
      <c r="J13" s="125">
        <v>2.0</v>
      </c>
      <c r="K13" s="125">
        <f t="shared" si="2"/>
        <v>7</v>
      </c>
      <c r="L13" s="139">
        <v>0.0</v>
      </c>
      <c r="M13" s="133" t="s">
        <v>21</v>
      </c>
      <c r="N13" s="123"/>
      <c r="O13" s="123"/>
      <c r="P13" s="123"/>
      <c r="Q13" s="123"/>
      <c r="R13" s="123"/>
      <c r="S13" s="123"/>
      <c r="T13" s="123"/>
      <c r="U13" s="123"/>
      <c r="V13" s="123"/>
      <c r="W13" s="123"/>
      <c r="X13" s="123"/>
      <c r="Y13" s="123"/>
    </row>
    <row r="14" ht="15.75" customHeight="1">
      <c r="A14" s="134" t="s">
        <v>968</v>
      </c>
      <c r="B14" s="159" t="s">
        <v>1232</v>
      </c>
      <c r="C14" s="135"/>
      <c r="D14" s="136" t="s">
        <v>1233</v>
      </c>
      <c r="E14" s="136"/>
      <c r="F14" s="136"/>
      <c r="G14" s="136">
        <f t="shared" si="1"/>
        <v>23</v>
      </c>
      <c r="H14" s="136">
        <v>15.0</v>
      </c>
      <c r="I14" s="136">
        <v>1.0</v>
      </c>
      <c r="J14" s="136">
        <v>3.0</v>
      </c>
      <c r="K14" s="136">
        <f t="shared" si="2"/>
        <v>8</v>
      </c>
      <c r="L14" s="137"/>
      <c r="M14" s="137" t="s">
        <v>1044</v>
      </c>
      <c r="N14" s="136"/>
      <c r="O14" s="136"/>
      <c r="P14" s="136"/>
      <c r="Q14" s="136"/>
      <c r="R14" s="136"/>
      <c r="S14" s="136"/>
      <c r="T14" s="136"/>
      <c r="U14" s="136"/>
      <c r="V14" s="136"/>
      <c r="W14" s="136"/>
      <c r="X14" s="136"/>
      <c r="Y14" s="136"/>
    </row>
    <row r="15" ht="15.75" customHeight="1">
      <c r="A15" s="123" t="s">
        <v>676</v>
      </c>
      <c r="B15" s="123" t="s">
        <v>1238</v>
      </c>
      <c r="C15" s="124"/>
      <c r="D15" s="125" t="s">
        <v>1239</v>
      </c>
      <c r="E15" s="125" t="s">
        <v>1241</v>
      </c>
      <c r="F15" s="125" t="s">
        <v>119</v>
      </c>
      <c r="G15" s="125">
        <f t="shared" si="1"/>
        <v>23</v>
      </c>
      <c r="H15" s="125">
        <v>14.0</v>
      </c>
      <c r="I15" s="125">
        <v>2.0</v>
      </c>
      <c r="J15" s="125">
        <v>1.0</v>
      </c>
      <c r="K15" s="125">
        <f t="shared" si="2"/>
        <v>9</v>
      </c>
      <c r="L15" s="139"/>
      <c r="M15" s="133" t="s">
        <v>1037</v>
      </c>
      <c r="N15" s="123"/>
      <c r="O15" s="123"/>
      <c r="P15" s="123"/>
      <c r="Q15" s="123"/>
      <c r="R15" s="123"/>
      <c r="S15" s="123"/>
      <c r="T15" s="123"/>
      <c r="U15" s="123"/>
      <c r="V15" s="123"/>
      <c r="W15" s="123"/>
      <c r="X15" s="123"/>
      <c r="Y15" s="123"/>
    </row>
    <row r="16" ht="15.75" customHeight="1">
      <c r="A16" s="134" t="s">
        <v>1172</v>
      </c>
      <c r="B16" s="134" t="s">
        <v>1243</v>
      </c>
      <c r="C16" s="135"/>
      <c r="D16" s="136" t="s">
        <v>1244</v>
      </c>
      <c r="E16" s="136" t="s">
        <v>1246</v>
      </c>
      <c r="F16" s="136"/>
      <c r="G16" s="136">
        <f t="shared" si="1"/>
        <v>22</v>
      </c>
      <c r="H16" s="136">
        <v>13.0</v>
      </c>
      <c r="I16" s="136">
        <v>2.0</v>
      </c>
      <c r="J16" s="136">
        <v>1.0</v>
      </c>
      <c r="K16" s="136">
        <f t="shared" si="2"/>
        <v>9</v>
      </c>
      <c r="L16" s="137"/>
      <c r="M16" s="137" t="s">
        <v>1044</v>
      </c>
      <c r="N16" s="136"/>
      <c r="O16" s="136"/>
      <c r="P16" s="136"/>
      <c r="Q16" s="136"/>
      <c r="R16" s="136"/>
      <c r="S16" s="136"/>
      <c r="T16" s="136"/>
      <c r="U16" s="136"/>
      <c r="V16" s="136"/>
      <c r="W16" s="136"/>
      <c r="X16" s="136"/>
      <c r="Y16" s="136"/>
    </row>
    <row r="17" ht="15.75" customHeight="1">
      <c r="A17" s="123" t="s">
        <v>27</v>
      </c>
      <c r="B17" s="123" t="s">
        <v>1252</v>
      </c>
      <c r="C17" s="124"/>
      <c r="D17" s="160" t="s">
        <v>1253</v>
      </c>
      <c r="E17" s="125" t="s">
        <v>1254</v>
      </c>
      <c r="F17" s="161" t="s">
        <v>1255</v>
      </c>
      <c r="G17" s="125">
        <f t="shared" si="1"/>
        <v>22</v>
      </c>
      <c r="H17" s="125">
        <v>13.0</v>
      </c>
      <c r="I17" s="125">
        <v>2.0</v>
      </c>
      <c r="J17" s="125">
        <v>1.0</v>
      </c>
      <c r="K17" s="125">
        <f t="shared" si="2"/>
        <v>9</v>
      </c>
      <c r="L17" s="133"/>
      <c r="M17" s="133" t="s">
        <v>1044</v>
      </c>
      <c r="N17" s="125"/>
      <c r="O17" s="125"/>
      <c r="P17" s="125"/>
      <c r="Q17" s="125"/>
      <c r="R17" s="125"/>
      <c r="S17" s="125"/>
      <c r="T17" s="125"/>
      <c r="U17" s="125"/>
      <c r="V17" s="125"/>
      <c r="W17" s="125"/>
      <c r="X17" s="125"/>
      <c r="Y17" s="125"/>
    </row>
    <row r="18" ht="15.75" customHeight="1">
      <c r="A18" s="134" t="s">
        <v>596</v>
      </c>
      <c r="B18" s="134" t="s">
        <v>1260</v>
      </c>
      <c r="C18" s="135"/>
      <c r="D18" s="136" t="s">
        <v>1261</v>
      </c>
      <c r="E18" s="136" t="s">
        <v>1262</v>
      </c>
      <c r="F18" s="136" t="s">
        <v>1263</v>
      </c>
      <c r="G18" s="136">
        <f t="shared" si="1"/>
        <v>22</v>
      </c>
      <c r="H18" s="136">
        <v>13.0</v>
      </c>
      <c r="I18" s="136">
        <v>2.0</v>
      </c>
      <c r="J18" s="136">
        <v>1.0</v>
      </c>
      <c r="K18" s="136">
        <f t="shared" si="2"/>
        <v>9</v>
      </c>
      <c r="L18" s="155"/>
      <c r="M18" s="137" t="s">
        <v>1044</v>
      </c>
      <c r="N18" s="134"/>
      <c r="O18" s="134"/>
      <c r="P18" s="134"/>
      <c r="Q18" s="134"/>
      <c r="R18" s="134"/>
      <c r="S18" s="134"/>
      <c r="T18" s="134"/>
      <c r="U18" s="134"/>
      <c r="V18" s="134"/>
      <c r="W18" s="134"/>
      <c r="X18" s="134"/>
      <c r="Y18" s="134"/>
    </row>
    <row r="19" ht="15.75" customHeight="1">
      <c r="A19" s="123" t="s">
        <v>676</v>
      </c>
      <c r="B19" s="123" t="s">
        <v>1264</v>
      </c>
      <c r="C19" s="124"/>
      <c r="D19" s="125" t="s">
        <v>1265</v>
      </c>
      <c r="E19" s="125" t="s">
        <v>1266</v>
      </c>
      <c r="F19" s="125" t="s">
        <v>1267</v>
      </c>
      <c r="G19" s="125">
        <f t="shared" si="1"/>
        <v>21</v>
      </c>
      <c r="H19" s="125">
        <v>12.0</v>
      </c>
      <c r="I19" s="125">
        <v>2.0</v>
      </c>
      <c r="J19" s="125">
        <v>1.0</v>
      </c>
      <c r="K19" s="125">
        <f t="shared" si="2"/>
        <v>9</v>
      </c>
      <c r="L19" s="139"/>
      <c r="M19" s="133" t="s">
        <v>1037</v>
      </c>
      <c r="N19" s="123"/>
      <c r="O19" s="123"/>
      <c r="P19" s="123"/>
      <c r="Q19" s="123"/>
      <c r="R19" s="123"/>
      <c r="S19" s="123"/>
      <c r="T19" s="123"/>
      <c r="U19" s="123"/>
      <c r="V19" s="123"/>
      <c r="W19" s="123"/>
      <c r="X19" s="123"/>
      <c r="Y19" s="123"/>
    </row>
    <row r="20" ht="15.75" customHeight="1">
      <c r="A20" s="134" t="s">
        <v>1172</v>
      </c>
      <c r="B20" s="159" t="s">
        <v>1268</v>
      </c>
      <c r="C20" s="135"/>
      <c r="D20" s="136" t="s">
        <v>1269</v>
      </c>
      <c r="E20" s="136"/>
      <c r="F20" s="136" t="s">
        <v>1270</v>
      </c>
      <c r="G20" s="136">
        <f t="shared" si="1"/>
        <v>21</v>
      </c>
      <c r="H20" s="136">
        <v>12.0</v>
      </c>
      <c r="I20" s="136">
        <v>1.0</v>
      </c>
      <c r="J20" s="136">
        <v>2.0</v>
      </c>
      <c r="K20" s="136">
        <f t="shared" si="2"/>
        <v>9</v>
      </c>
      <c r="L20" s="137"/>
      <c r="M20" s="137" t="s">
        <v>21</v>
      </c>
      <c r="N20" s="136"/>
      <c r="O20" s="136"/>
      <c r="P20" s="136"/>
      <c r="Q20" s="136"/>
      <c r="R20" s="136"/>
      <c r="S20" s="136"/>
      <c r="T20" s="136"/>
      <c r="U20" s="136"/>
      <c r="V20" s="136"/>
      <c r="W20" s="136"/>
      <c r="X20" s="136"/>
      <c r="Y20" s="136"/>
    </row>
    <row r="21" ht="15.75" customHeight="1">
      <c r="A21" s="123" t="s">
        <v>526</v>
      </c>
      <c r="B21" s="123" t="s">
        <v>1271</v>
      </c>
      <c r="C21" s="124"/>
      <c r="D21" s="125" t="s">
        <v>1272</v>
      </c>
      <c r="E21" s="125"/>
      <c r="F21" s="125"/>
      <c r="G21" s="125">
        <f t="shared" si="1"/>
        <v>20</v>
      </c>
      <c r="H21" s="125">
        <v>15.0</v>
      </c>
      <c r="I21" s="125">
        <v>3.0</v>
      </c>
      <c r="J21" s="125">
        <v>4.0</v>
      </c>
      <c r="K21" s="125">
        <f t="shared" si="2"/>
        <v>5</v>
      </c>
      <c r="L21" s="133"/>
      <c r="M21" s="133" t="s">
        <v>21</v>
      </c>
      <c r="N21" s="125"/>
      <c r="O21" s="125"/>
      <c r="P21" s="125"/>
      <c r="Q21" s="125"/>
      <c r="R21" s="125"/>
      <c r="S21" s="125"/>
      <c r="T21" s="125"/>
      <c r="U21" s="125"/>
      <c r="V21" s="125"/>
      <c r="W21" s="125"/>
      <c r="X21" s="125"/>
      <c r="Y21" s="125"/>
    </row>
    <row r="22" ht="15.75" customHeight="1">
      <c r="A22" s="134" t="s">
        <v>596</v>
      </c>
      <c r="B22" s="134" t="s">
        <v>1273</v>
      </c>
      <c r="C22" s="162"/>
      <c r="D22" s="136" t="s">
        <v>1274</v>
      </c>
      <c r="E22" s="136" t="s">
        <v>1275</v>
      </c>
      <c r="F22" s="136" t="s">
        <v>1276</v>
      </c>
      <c r="G22" s="136">
        <f t="shared" si="1"/>
        <v>19</v>
      </c>
      <c r="H22" s="136">
        <v>16.0</v>
      </c>
      <c r="I22" s="136">
        <v>5.0</v>
      </c>
      <c r="J22" s="136">
        <v>4.0</v>
      </c>
      <c r="K22" s="136">
        <f t="shared" si="2"/>
        <v>3</v>
      </c>
      <c r="L22" s="155"/>
      <c r="M22" s="137" t="s">
        <v>1044</v>
      </c>
      <c r="N22" s="134"/>
      <c r="O22" s="134"/>
      <c r="P22" s="134"/>
      <c r="Q22" s="134"/>
      <c r="R22" s="134"/>
      <c r="S22" s="134"/>
      <c r="T22" s="134"/>
      <c r="U22" s="134"/>
      <c r="V22" s="134"/>
      <c r="W22" s="134"/>
      <c r="X22" s="134"/>
      <c r="Y22" s="134"/>
    </row>
    <row r="23" ht="15.75" customHeight="1">
      <c r="A23" s="123" t="s">
        <v>596</v>
      </c>
      <c r="B23" s="138" t="s">
        <v>1277</v>
      </c>
      <c r="C23" s="124"/>
      <c r="D23" s="125" t="s">
        <v>1278</v>
      </c>
      <c r="E23" s="125" t="s">
        <v>1279</v>
      </c>
      <c r="F23" s="125" t="s">
        <v>1280</v>
      </c>
      <c r="G23" s="125">
        <f t="shared" si="1"/>
        <v>19</v>
      </c>
      <c r="H23" s="125">
        <v>15.0</v>
      </c>
      <c r="I23" s="125">
        <v>5.0</v>
      </c>
      <c r="J23" s="125">
        <v>3.0</v>
      </c>
      <c r="K23" s="125">
        <f t="shared" si="2"/>
        <v>4</v>
      </c>
      <c r="L23" s="139"/>
      <c r="M23" s="133" t="s">
        <v>21</v>
      </c>
      <c r="N23" s="123"/>
      <c r="O23" s="123"/>
      <c r="P23" s="123"/>
      <c r="Q23" s="123"/>
      <c r="R23" s="123"/>
      <c r="S23" s="123"/>
      <c r="T23" s="123"/>
      <c r="U23" s="123"/>
      <c r="V23" s="123"/>
      <c r="W23" s="123"/>
      <c r="X23" s="123"/>
      <c r="Y23" s="123"/>
    </row>
    <row r="24" ht="15.75" customHeight="1">
      <c r="A24" s="134" t="s">
        <v>596</v>
      </c>
      <c r="B24" s="134" t="s">
        <v>131</v>
      </c>
      <c r="C24" s="135"/>
      <c r="D24" s="136" t="s">
        <v>1281</v>
      </c>
      <c r="E24" s="136" t="s">
        <v>1282</v>
      </c>
      <c r="F24" s="136" t="s">
        <v>119</v>
      </c>
      <c r="G24" s="136">
        <f t="shared" si="1"/>
        <v>19</v>
      </c>
      <c r="H24" s="136">
        <v>13.0</v>
      </c>
      <c r="I24" s="136">
        <v>3.0</v>
      </c>
      <c r="J24" s="136">
        <v>3.0</v>
      </c>
      <c r="K24" s="136">
        <f t="shared" si="2"/>
        <v>6</v>
      </c>
      <c r="L24" s="155"/>
      <c r="M24" s="137" t="s">
        <v>21</v>
      </c>
      <c r="N24" s="134"/>
      <c r="O24" s="134"/>
      <c r="P24" s="134"/>
      <c r="Q24" s="134"/>
      <c r="R24" s="134"/>
      <c r="S24" s="134"/>
      <c r="T24" s="134"/>
      <c r="U24" s="134"/>
      <c r="V24" s="134"/>
      <c r="W24" s="134"/>
      <c r="X24" s="134"/>
      <c r="Y24" s="134"/>
    </row>
    <row r="25" ht="15.75" customHeight="1">
      <c r="A25" s="123" t="s">
        <v>596</v>
      </c>
      <c r="B25" s="123" t="s">
        <v>126</v>
      </c>
      <c r="C25" s="164"/>
      <c r="D25" s="125" t="s">
        <v>1283</v>
      </c>
      <c r="E25" s="125" t="s">
        <v>1284</v>
      </c>
      <c r="F25" s="125" t="s">
        <v>1224</v>
      </c>
      <c r="G25" s="125">
        <f t="shared" si="1"/>
        <v>19</v>
      </c>
      <c r="H25" s="125">
        <v>12.0</v>
      </c>
      <c r="I25" s="125">
        <v>2.0</v>
      </c>
      <c r="J25" s="125">
        <v>3.0</v>
      </c>
      <c r="K25" s="125">
        <f t="shared" si="2"/>
        <v>7</v>
      </c>
      <c r="L25" s="139"/>
      <c r="M25" s="133" t="s">
        <v>21</v>
      </c>
      <c r="N25" s="123"/>
      <c r="O25" s="123"/>
      <c r="P25" s="123"/>
      <c r="Q25" s="123"/>
      <c r="R25" s="123"/>
      <c r="S25" s="123"/>
      <c r="T25" s="123"/>
      <c r="U25" s="123"/>
      <c r="V25" s="123"/>
      <c r="W25" s="123"/>
      <c r="X25" s="123"/>
      <c r="Y25" s="123"/>
    </row>
    <row r="26" ht="15.75" customHeight="1">
      <c r="A26" s="134" t="s">
        <v>676</v>
      </c>
      <c r="B26" s="159" t="s">
        <v>1285</v>
      </c>
      <c r="C26" s="135"/>
      <c r="D26" s="136" t="s">
        <v>1286</v>
      </c>
      <c r="E26" s="136" t="s">
        <v>1287</v>
      </c>
      <c r="F26" s="136" t="s">
        <v>1288</v>
      </c>
      <c r="G26" s="136">
        <f t="shared" si="1"/>
        <v>18</v>
      </c>
      <c r="H26" s="136">
        <v>16.0</v>
      </c>
      <c r="I26" s="136">
        <v>5.0</v>
      </c>
      <c r="J26" s="136">
        <v>5.0</v>
      </c>
      <c r="K26" s="136">
        <f t="shared" si="2"/>
        <v>2</v>
      </c>
      <c r="L26" s="155"/>
      <c r="M26" s="137" t="s">
        <v>1055</v>
      </c>
      <c r="N26" s="134"/>
      <c r="O26" s="134"/>
      <c r="P26" s="134"/>
      <c r="Q26" s="134"/>
      <c r="R26" s="134"/>
      <c r="S26" s="134"/>
      <c r="T26" s="134"/>
      <c r="U26" s="134"/>
      <c r="V26" s="134"/>
      <c r="W26" s="134"/>
      <c r="X26" s="134"/>
      <c r="Y26" s="134"/>
    </row>
    <row r="27" ht="15.75" customHeight="1">
      <c r="A27" s="123" t="s">
        <v>676</v>
      </c>
      <c r="B27" s="159" t="s">
        <v>1289</v>
      </c>
      <c r="C27" s="124"/>
      <c r="D27" s="125" t="s">
        <v>1290</v>
      </c>
      <c r="E27" s="125" t="s">
        <v>1287</v>
      </c>
      <c r="F27" s="125" t="s">
        <v>1288</v>
      </c>
      <c r="G27" s="125">
        <f t="shared" si="1"/>
        <v>18</v>
      </c>
      <c r="H27" s="125">
        <v>16.0</v>
      </c>
      <c r="I27" s="125">
        <v>5.0</v>
      </c>
      <c r="J27" s="125">
        <v>5.0</v>
      </c>
      <c r="K27" s="125">
        <f t="shared" si="2"/>
        <v>2</v>
      </c>
      <c r="L27" s="139"/>
      <c r="M27" s="133" t="s">
        <v>1055</v>
      </c>
      <c r="N27" s="123"/>
      <c r="O27" s="123"/>
      <c r="P27" s="123"/>
      <c r="Q27" s="123"/>
      <c r="R27" s="123"/>
      <c r="S27" s="123"/>
      <c r="T27" s="123"/>
      <c r="U27" s="123"/>
      <c r="V27" s="123"/>
      <c r="W27" s="123"/>
      <c r="X27" s="123"/>
      <c r="Y27" s="123"/>
    </row>
    <row r="28" ht="15.75" customHeight="1">
      <c r="A28" s="134" t="s">
        <v>676</v>
      </c>
      <c r="B28" s="159" t="s">
        <v>1291</v>
      </c>
      <c r="C28" s="135"/>
      <c r="D28" s="136" t="s">
        <v>1292</v>
      </c>
      <c r="E28" s="136" t="s">
        <v>1287</v>
      </c>
      <c r="F28" s="136" t="s">
        <v>1288</v>
      </c>
      <c r="G28" s="136">
        <f t="shared" si="1"/>
        <v>18</v>
      </c>
      <c r="H28" s="136">
        <v>16.0</v>
      </c>
      <c r="I28" s="136">
        <v>5.0</v>
      </c>
      <c r="J28" s="136">
        <v>5.0</v>
      </c>
      <c r="K28" s="136">
        <f t="shared" si="2"/>
        <v>2</v>
      </c>
      <c r="L28" s="155"/>
      <c r="M28" s="137" t="s">
        <v>1055</v>
      </c>
      <c r="N28" s="134"/>
      <c r="O28" s="134"/>
      <c r="P28" s="134"/>
      <c r="Q28" s="134"/>
      <c r="R28" s="134"/>
      <c r="S28" s="134"/>
      <c r="T28" s="134"/>
      <c r="U28" s="134"/>
      <c r="V28" s="134"/>
      <c r="W28" s="134"/>
      <c r="X28" s="134"/>
      <c r="Y28" s="134"/>
    </row>
    <row r="29" ht="15.75" customHeight="1">
      <c r="A29" s="123" t="s">
        <v>596</v>
      </c>
      <c r="B29" s="138" t="s">
        <v>1293</v>
      </c>
      <c r="C29" s="158"/>
      <c r="D29" s="160" t="s">
        <v>1294</v>
      </c>
      <c r="E29" s="125" t="s">
        <v>1295</v>
      </c>
      <c r="F29" s="125" t="s">
        <v>1263</v>
      </c>
      <c r="G29" s="125">
        <f t="shared" si="1"/>
        <v>18</v>
      </c>
      <c r="H29" s="125">
        <v>14.0</v>
      </c>
      <c r="I29" s="125">
        <v>4.0</v>
      </c>
      <c r="J29" s="125">
        <v>4.0</v>
      </c>
      <c r="K29" s="125">
        <f t="shared" si="2"/>
        <v>4</v>
      </c>
      <c r="L29" s="139"/>
      <c r="M29" s="133" t="s">
        <v>1044</v>
      </c>
      <c r="N29" s="123"/>
      <c r="O29" s="123"/>
      <c r="P29" s="123"/>
      <c r="Q29" s="123"/>
      <c r="R29" s="123"/>
      <c r="S29" s="123"/>
      <c r="T29" s="123"/>
      <c r="U29" s="123"/>
      <c r="V29" s="123"/>
      <c r="W29" s="123"/>
      <c r="X29" s="123"/>
      <c r="Y29" s="123"/>
    </row>
    <row r="30" ht="15.75" customHeight="1">
      <c r="A30" s="134" t="s">
        <v>1172</v>
      </c>
      <c r="B30" s="134" t="s">
        <v>1296</v>
      </c>
      <c r="C30" s="135"/>
      <c r="D30" s="165" t="s">
        <v>1297</v>
      </c>
      <c r="E30" s="136" t="s">
        <v>1298</v>
      </c>
      <c r="F30" s="136" t="s">
        <v>1299</v>
      </c>
      <c r="G30" s="136">
        <f t="shared" si="1"/>
        <v>17</v>
      </c>
      <c r="H30" s="136">
        <v>15.0</v>
      </c>
      <c r="I30" s="136">
        <v>5.0</v>
      </c>
      <c r="J30" s="136">
        <v>5.0</v>
      </c>
      <c r="K30" s="136">
        <f t="shared" si="2"/>
        <v>2</v>
      </c>
      <c r="L30" s="155">
        <v>0.0</v>
      </c>
      <c r="M30" s="137" t="s">
        <v>1044</v>
      </c>
      <c r="N30" s="134" t="s">
        <v>1300</v>
      </c>
      <c r="O30" s="134"/>
      <c r="P30" s="134"/>
      <c r="Q30" s="134"/>
      <c r="R30" s="134"/>
      <c r="S30" s="134"/>
      <c r="T30" s="134"/>
      <c r="U30" s="134"/>
      <c r="V30" s="134"/>
      <c r="W30" s="134"/>
      <c r="X30" s="134"/>
      <c r="Y30" s="134"/>
    </row>
    <row r="31" ht="15.75" customHeight="1">
      <c r="A31" s="123" t="s">
        <v>526</v>
      </c>
      <c r="B31" s="123" t="s">
        <v>1301</v>
      </c>
      <c r="C31" s="164"/>
      <c r="D31" s="125" t="s">
        <v>1302</v>
      </c>
      <c r="E31" s="125" t="s">
        <v>1303</v>
      </c>
      <c r="F31" s="125" t="s">
        <v>119</v>
      </c>
      <c r="G31" s="125">
        <f t="shared" si="1"/>
        <v>17</v>
      </c>
      <c r="H31" s="125">
        <v>10.0</v>
      </c>
      <c r="I31" s="125">
        <v>4.0</v>
      </c>
      <c r="J31" s="125">
        <v>1.0</v>
      </c>
      <c r="K31" s="125">
        <f t="shared" si="2"/>
        <v>7</v>
      </c>
      <c r="L31" s="139">
        <v>0.0</v>
      </c>
      <c r="M31" s="133" t="s">
        <v>21</v>
      </c>
      <c r="N31" s="123"/>
      <c r="O31" s="123"/>
      <c r="P31" s="123"/>
      <c r="Q31" s="123"/>
      <c r="R31" s="123"/>
      <c r="S31" s="123"/>
      <c r="T31" s="123"/>
      <c r="U31" s="123"/>
      <c r="V31" s="123"/>
      <c r="W31" s="123"/>
      <c r="X31" s="123"/>
      <c r="Y31" s="123"/>
    </row>
    <row r="32" ht="15.75" customHeight="1">
      <c r="A32" s="134" t="s">
        <v>27</v>
      </c>
      <c r="B32" s="134" t="s">
        <v>1304</v>
      </c>
      <c r="C32" s="135"/>
      <c r="D32" s="165" t="s">
        <v>1305</v>
      </c>
      <c r="E32" s="136" t="s">
        <v>1306</v>
      </c>
      <c r="F32" s="136" t="s">
        <v>119</v>
      </c>
      <c r="G32" s="136">
        <f t="shared" si="1"/>
        <v>17</v>
      </c>
      <c r="H32" s="136">
        <v>8.0</v>
      </c>
      <c r="I32" s="136">
        <v>1.0</v>
      </c>
      <c r="J32" s="136">
        <v>2.0</v>
      </c>
      <c r="K32" s="136">
        <f t="shared" si="2"/>
        <v>9</v>
      </c>
      <c r="L32" s="155">
        <v>0.0</v>
      </c>
      <c r="M32" s="137" t="s">
        <v>449</v>
      </c>
      <c r="N32" s="134" t="s">
        <v>1307</v>
      </c>
      <c r="O32" s="134"/>
      <c r="P32" s="134"/>
      <c r="Q32" s="134"/>
      <c r="R32" s="134"/>
      <c r="S32" s="134"/>
      <c r="T32" s="134"/>
      <c r="U32" s="134"/>
      <c r="V32" s="134"/>
      <c r="W32" s="134"/>
      <c r="X32" s="134"/>
      <c r="Y32" s="134"/>
    </row>
    <row r="33" ht="15.75" customHeight="1">
      <c r="A33" s="123" t="s">
        <v>676</v>
      </c>
      <c r="B33" s="123" t="s">
        <v>1308</v>
      </c>
      <c r="C33" s="124"/>
      <c r="D33" s="160" t="s">
        <v>1309</v>
      </c>
      <c r="E33" s="125" t="s">
        <v>1310</v>
      </c>
      <c r="F33" s="125" t="s">
        <v>119</v>
      </c>
      <c r="G33" s="125">
        <f t="shared" si="1"/>
        <v>17</v>
      </c>
      <c r="H33" s="125">
        <v>8.0</v>
      </c>
      <c r="I33" s="125">
        <v>2.0</v>
      </c>
      <c r="J33" s="125">
        <v>1.0</v>
      </c>
      <c r="K33" s="125">
        <f t="shared" si="2"/>
        <v>9</v>
      </c>
      <c r="L33" s="133"/>
      <c r="M33" s="133" t="s">
        <v>1037</v>
      </c>
      <c r="N33" s="125"/>
      <c r="O33" s="125"/>
      <c r="P33" s="125"/>
      <c r="Q33" s="125"/>
      <c r="R33" s="125"/>
      <c r="S33" s="125"/>
      <c r="T33" s="125"/>
      <c r="U33" s="125"/>
      <c r="V33" s="125"/>
      <c r="W33" s="125"/>
      <c r="X33" s="125"/>
      <c r="Y33" s="125"/>
    </row>
    <row r="34" ht="15.75" customHeight="1">
      <c r="A34" s="134" t="s">
        <v>1172</v>
      </c>
      <c r="B34" s="134" t="s">
        <v>408</v>
      </c>
      <c r="C34" s="135"/>
      <c r="D34" s="136" t="s">
        <v>1311</v>
      </c>
      <c r="E34" s="136" t="s">
        <v>1312</v>
      </c>
      <c r="F34" s="136"/>
      <c r="G34" s="136">
        <f t="shared" si="1"/>
        <v>17</v>
      </c>
      <c r="H34" s="136">
        <v>8.0</v>
      </c>
      <c r="I34" s="136">
        <v>2.0</v>
      </c>
      <c r="J34" s="136">
        <v>1.0</v>
      </c>
      <c r="K34" s="136">
        <f t="shared" si="2"/>
        <v>9</v>
      </c>
      <c r="L34" s="155"/>
      <c r="M34" s="137" t="s">
        <v>1044</v>
      </c>
      <c r="N34" s="134"/>
      <c r="O34" s="134"/>
      <c r="P34" s="134"/>
      <c r="Q34" s="134"/>
      <c r="R34" s="134"/>
      <c r="S34" s="134"/>
      <c r="T34" s="134"/>
      <c r="U34" s="134"/>
      <c r="V34" s="134"/>
      <c r="W34" s="134"/>
      <c r="X34" s="134"/>
      <c r="Y34" s="134"/>
    </row>
    <row r="35" ht="15.75" customHeight="1">
      <c r="A35" s="123" t="s">
        <v>596</v>
      </c>
      <c r="B35" s="123" t="s">
        <v>1313</v>
      </c>
      <c r="C35" s="124"/>
      <c r="D35" s="125" t="s">
        <v>1314</v>
      </c>
      <c r="E35" s="125" t="s">
        <v>1315</v>
      </c>
      <c r="F35" s="125" t="s">
        <v>1316</v>
      </c>
      <c r="G35" s="125">
        <f t="shared" si="1"/>
        <v>16</v>
      </c>
      <c r="H35" s="125">
        <v>10.0</v>
      </c>
      <c r="I35" s="125">
        <v>3.0</v>
      </c>
      <c r="J35" s="125">
        <v>3.0</v>
      </c>
      <c r="K35" s="125">
        <f t="shared" si="2"/>
        <v>6</v>
      </c>
      <c r="L35" s="139"/>
      <c r="M35" s="133" t="s">
        <v>1044</v>
      </c>
      <c r="N35" s="123"/>
      <c r="O35" s="123"/>
      <c r="P35" s="123"/>
      <c r="Q35" s="123"/>
      <c r="R35" s="123"/>
      <c r="S35" s="123"/>
      <c r="T35" s="123"/>
      <c r="U35" s="123"/>
      <c r="V35" s="123"/>
      <c r="W35" s="123"/>
      <c r="X35" s="123"/>
      <c r="Y35" s="123"/>
    </row>
    <row r="36" ht="15.75" customHeight="1">
      <c r="A36" s="134" t="s">
        <v>27</v>
      </c>
      <c r="B36" s="159" t="s">
        <v>1317</v>
      </c>
      <c r="C36" s="166" t="s">
        <v>1318</v>
      </c>
      <c r="D36" s="136" t="s">
        <v>1319</v>
      </c>
      <c r="E36" s="136" t="s">
        <v>1320</v>
      </c>
      <c r="F36" s="136" t="s">
        <v>119</v>
      </c>
      <c r="G36" s="136">
        <f t="shared" si="1"/>
        <v>16</v>
      </c>
      <c r="H36" s="136">
        <v>10.0</v>
      </c>
      <c r="I36" s="136">
        <v>3.0</v>
      </c>
      <c r="J36" s="136">
        <v>3.0</v>
      </c>
      <c r="K36" s="136">
        <f t="shared" si="2"/>
        <v>6</v>
      </c>
      <c r="L36" s="155">
        <v>0.0</v>
      </c>
      <c r="M36" s="137" t="s">
        <v>449</v>
      </c>
      <c r="N36" s="134" t="s">
        <v>1321</v>
      </c>
      <c r="O36" s="134"/>
      <c r="P36" s="134"/>
      <c r="Q36" s="134"/>
      <c r="R36" s="134"/>
      <c r="S36" s="134"/>
      <c r="T36" s="134"/>
      <c r="U36" s="134"/>
      <c r="V36" s="134"/>
      <c r="W36" s="134"/>
      <c r="X36" s="134"/>
      <c r="Y36" s="134"/>
    </row>
    <row r="37" ht="15.75" customHeight="1">
      <c r="A37" s="123" t="s">
        <v>1172</v>
      </c>
      <c r="B37" s="123" t="s">
        <v>1322</v>
      </c>
      <c r="C37" s="124"/>
      <c r="D37" s="125" t="s">
        <v>1323</v>
      </c>
      <c r="E37" s="125" t="s">
        <v>1324</v>
      </c>
      <c r="F37" s="125" t="s">
        <v>119</v>
      </c>
      <c r="G37" s="125">
        <f t="shared" si="1"/>
        <v>16</v>
      </c>
      <c r="H37" s="125">
        <v>6.0</v>
      </c>
      <c r="I37" s="125">
        <v>1.0</v>
      </c>
      <c r="J37" s="125">
        <v>1.0</v>
      </c>
      <c r="K37" s="125">
        <f t="shared" si="2"/>
        <v>10</v>
      </c>
      <c r="L37" s="139"/>
      <c r="M37" s="133" t="s">
        <v>1044</v>
      </c>
      <c r="N37" s="123"/>
      <c r="O37" s="123"/>
      <c r="P37" s="123"/>
      <c r="Q37" s="123"/>
      <c r="R37" s="123"/>
      <c r="S37" s="123"/>
      <c r="T37" s="123"/>
      <c r="U37" s="123"/>
      <c r="V37" s="123"/>
      <c r="W37" s="123"/>
      <c r="X37" s="123"/>
      <c r="Y37" s="123"/>
    </row>
    <row r="38" ht="15.75" customHeight="1">
      <c r="A38" s="134" t="s">
        <v>1325</v>
      </c>
      <c r="B38" s="134" t="s">
        <v>1326</v>
      </c>
      <c r="C38" s="135"/>
      <c r="D38" s="136" t="s">
        <v>1327</v>
      </c>
      <c r="E38" s="136" t="s">
        <v>1328</v>
      </c>
      <c r="F38" s="136" t="s">
        <v>119</v>
      </c>
      <c r="G38" s="136">
        <f t="shared" si="1"/>
        <v>14</v>
      </c>
      <c r="H38" s="136">
        <v>8.0</v>
      </c>
      <c r="I38" s="136">
        <v>3.0</v>
      </c>
      <c r="J38" s="136">
        <v>3.0</v>
      </c>
      <c r="K38" s="136">
        <f t="shared" si="2"/>
        <v>6</v>
      </c>
      <c r="L38" s="137"/>
      <c r="M38" s="137" t="s">
        <v>1055</v>
      </c>
      <c r="N38" s="136"/>
      <c r="O38" s="136"/>
      <c r="P38" s="136"/>
      <c r="Q38" s="136"/>
      <c r="R38" s="136"/>
      <c r="S38" s="136"/>
      <c r="T38" s="136"/>
      <c r="U38" s="136"/>
      <c r="V38" s="136"/>
      <c r="W38" s="136"/>
      <c r="X38" s="136"/>
      <c r="Y38" s="136"/>
    </row>
    <row r="39" ht="15.75" customHeight="1">
      <c r="A39" s="123" t="s">
        <v>27</v>
      </c>
      <c r="B39" s="123" t="s">
        <v>1329</v>
      </c>
      <c r="C39" s="167" t="s">
        <v>1330</v>
      </c>
      <c r="D39" s="125" t="s">
        <v>1331</v>
      </c>
      <c r="E39" s="125" t="s">
        <v>1332</v>
      </c>
      <c r="F39" s="125" t="s">
        <v>119</v>
      </c>
      <c r="G39" s="125">
        <f t="shared" si="1"/>
        <v>14</v>
      </c>
      <c r="H39" s="125">
        <v>6.0</v>
      </c>
      <c r="I39" s="125">
        <v>1.0</v>
      </c>
      <c r="J39" s="125">
        <v>3.0</v>
      </c>
      <c r="K39" s="125">
        <f t="shared" si="2"/>
        <v>8</v>
      </c>
      <c r="L39" s="139">
        <v>0.0</v>
      </c>
      <c r="M39" s="133" t="s">
        <v>21</v>
      </c>
      <c r="N39" s="123"/>
      <c r="O39" s="123"/>
      <c r="P39" s="123"/>
      <c r="Q39" s="123"/>
      <c r="R39" s="123"/>
      <c r="S39" s="123"/>
      <c r="T39" s="123"/>
      <c r="U39" s="123"/>
      <c r="V39" s="123"/>
      <c r="W39" s="123"/>
      <c r="X39" s="123"/>
      <c r="Y39" s="123"/>
    </row>
    <row r="40" ht="15.75" customHeight="1">
      <c r="A40" s="134" t="s">
        <v>676</v>
      </c>
      <c r="B40" s="134" t="s">
        <v>1333</v>
      </c>
      <c r="C40" s="135"/>
      <c r="D40" s="136" t="s">
        <v>1334</v>
      </c>
      <c r="E40" s="136" t="s">
        <v>1335</v>
      </c>
      <c r="F40" s="136" t="s">
        <v>119</v>
      </c>
      <c r="G40" s="136">
        <f t="shared" si="1"/>
        <v>14</v>
      </c>
      <c r="H40" s="136">
        <v>6.0</v>
      </c>
      <c r="I40" s="136">
        <v>2.0</v>
      </c>
      <c r="J40" s="136">
        <v>2.0</v>
      </c>
      <c r="K40" s="136">
        <f t="shared" si="2"/>
        <v>8</v>
      </c>
      <c r="L40" s="137"/>
      <c r="M40" s="137" t="s">
        <v>1055</v>
      </c>
      <c r="N40" s="136"/>
      <c r="O40" s="136"/>
      <c r="P40" s="136"/>
      <c r="Q40" s="136"/>
      <c r="R40" s="136"/>
      <c r="S40" s="136"/>
      <c r="T40" s="136"/>
      <c r="U40" s="136"/>
      <c r="V40" s="136"/>
      <c r="W40" s="136"/>
      <c r="X40" s="136"/>
      <c r="Y40" s="136"/>
    </row>
    <row r="41" ht="15.75" customHeight="1">
      <c r="A41" s="123" t="s">
        <v>676</v>
      </c>
      <c r="B41" s="123" t="s">
        <v>1336</v>
      </c>
      <c r="C41" s="124"/>
      <c r="D41" s="125" t="s">
        <v>1337</v>
      </c>
      <c r="E41" s="125"/>
      <c r="F41" s="125" t="s">
        <v>119</v>
      </c>
      <c r="G41" s="125">
        <f t="shared" si="1"/>
        <v>14</v>
      </c>
      <c r="H41" s="125">
        <v>6.0</v>
      </c>
      <c r="I41" s="125">
        <v>3.0</v>
      </c>
      <c r="J41" s="125">
        <v>1.0</v>
      </c>
      <c r="K41" s="125">
        <f t="shared" si="2"/>
        <v>8</v>
      </c>
      <c r="L41" s="139"/>
      <c r="M41" s="133" t="s">
        <v>1037</v>
      </c>
      <c r="N41" s="125" t="s">
        <v>1338</v>
      </c>
      <c r="O41" s="125"/>
      <c r="P41" s="125"/>
      <c r="Q41" s="125"/>
      <c r="R41" s="125"/>
      <c r="S41" s="125"/>
      <c r="T41" s="125"/>
      <c r="U41" s="125"/>
      <c r="V41" s="125"/>
      <c r="W41" s="125"/>
      <c r="X41" s="125"/>
      <c r="Y41" s="125"/>
    </row>
    <row r="42" ht="15.75" customHeight="1">
      <c r="A42" s="95"/>
      <c r="B42" s="95"/>
      <c r="C42" s="95"/>
      <c r="D42" s="95"/>
      <c r="E42" s="95"/>
      <c r="F42" s="95"/>
      <c r="G42" s="95"/>
      <c r="H42" s="95"/>
      <c r="I42" s="95"/>
      <c r="J42" s="95"/>
      <c r="K42" s="95"/>
      <c r="L42" s="95"/>
      <c r="M42" s="95"/>
      <c r="N42" s="95"/>
      <c r="O42" s="95"/>
      <c r="P42" s="95"/>
      <c r="Q42" s="95"/>
      <c r="R42" s="95"/>
      <c r="S42" s="95"/>
      <c r="T42" s="95"/>
      <c r="U42" s="95"/>
      <c r="V42" s="95"/>
      <c r="W42" s="95"/>
      <c r="X42" s="95"/>
      <c r="Y42" s="95"/>
    </row>
    <row r="43" ht="15.75" customHeight="1">
      <c r="A43" s="95"/>
      <c r="B43" s="95"/>
      <c r="C43" s="95"/>
      <c r="D43" s="95"/>
      <c r="E43" s="95"/>
      <c r="F43" s="95"/>
      <c r="G43" s="95"/>
      <c r="H43" s="95"/>
      <c r="I43" s="95"/>
      <c r="J43" s="95"/>
      <c r="K43" s="95"/>
      <c r="L43" s="95"/>
      <c r="M43" s="95"/>
      <c r="N43" s="95"/>
      <c r="O43" s="95"/>
      <c r="P43" s="95"/>
      <c r="Q43" s="95"/>
      <c r="R43" s="95"/>
      <c r="S43" s="95"/>
      <c r="T43" s="95"/>
      <c r="U43" s="95"/>
      <c r="V43" s="95"/>
      <c r="W43" s="95"/>
      <c r="X43" s="95"/>
      <c r="Y43" s="95"/>
    </row>
    <row r="44" ht="15.75" customHeight="1">
      <c r="A44" s="168" t="s">
        <v>1015</v>
      </c>
      <c r="B44" s="168" t="s">
        <v>1017</v>
      </c>
      <c r="C44" s="168" t="s">
        <v>863</v>
      </c>
      <c r="D44" s="168" t="s">
        <v>1339</v>
      </c>
      <c r="E44" s="168" t="s">
        <v>2</v>
      </c>
      <c r="F44" s="168" t="s">
        <v>1340</v>
      </c>
      <c r="G44" s="168"/>
      <c r="H44" s="168" t="s">
        <v>436</v>
      </c>
      <c r="I44" s="168"/>
      <c r="J44" s="169" t="s">
        <v>445</v>
      </c>
      <c r="K44" s="168"/>
      <c r="L44" s="170"/>
      <c r="M44" s="171"/>
      <c r="N44" s="171"/>
      <c r="O44" s="168"/>
      <c r="P44" s="168"/>
      <c r="Q44" s="95"/>
      <c r="R44" s="95"/>
      <c r="S44" s="95"/>
      <c r="T44" s="95"/>
      <c r="U44" s="95"/>
      <c r="V44" s="95"/>
      <c r="W44" s="95"/>
      <c r="X44" s="95"/>
      <c r="Y44" s="95"/>
    </row>
    <row r="45" ht="15.75" customHeight="1">
      <c r="A45" s="172" t="s">
        <v>1116</v>
      </c>
      <c r="B45" s="172" t="s">
        <v>1341</v>
      </c>
      <c r="C45" s="173" t="s">
        <v>1342</v>
      </c>
      <c r="D45" s="173" t="s">
        <v>1343</v>
      </c>
      <c r="E45" s="174" t="s">
        <v>1344</v>
      </c>
      <c r="F45" s="175"/>
      <c r="G45" s="175"/>
      <c r="H45" s="173" t="s">
        <v>465</v>
      </c>
      <c r="I45" s="173"/>
      <c r="J45" s="175"/>
      <c r="K45" s="173"/>
      <c r="L45" s="176"/>
      <c r="M45" s="177"/>
      <c r="N45" s="177"/>
      <c r="O45" s="172"/>
      <c r="P45" s="172"/>
      <c r="Q45" s="95"/>
      <c r="R45" s="95"/>
      <c r="S45" s="95"/>
      <c r="T45" s="95"/>
      <c r="U45" s="95"/>
      <c r="V45" s="95"/>
      <c r="W45" s="95"/>
      <c r="X45" s="95"/>
      <c r="Y45" s="95"/>
    </row>
    <row r="46" ht="15.75" customHeight="1">
      <c r="A46" s="172" t="s">
        <v>1126</v>
      </c>
      <c r="B46" s="172" t="s">
        <v>1345</v>
      </c>
      <c r="C46" s="173" t="s">
        <v>1342</v>
      </c>
      <c r="D46" s="173" t="s">
        <v>1346</v>
      </c>
      <c r="E46" s="178"/>
      <c r="F46" s="175"/>
      <c r="G46" s="175"/>
      <c r="H46" s="173" t="s">
        <v>1055</v>
      </c>
      <c r="I46" s="173"/>
      <c r="J46" s="175"/>
      <c r="K46" s="173"/>
      <c r="L46" s="176"/>
      <c r="M46" s="177"/>
      <c r="N46" s="177"/>
      <c r="O46" s="172"/>
      <c r="P46" s="172"/>
      <c r="Q46" s="95"/>
      <c r="R46" s="95"/>
      <c r="S46" s="95"/>
      <c r="T46" s="95"/>
      <c r="U46" s="95"/>
      <c r="V46" s="95"/>
      <c r="W46" s="95"/>
      <c r="X46" s="95"/>
      <c r="Y46" s="95"/>
    </row>
    <row r="47" ht="15.75" customHeight="1">
      <c r="A47" s="172" t="s">
        <v>1172</v>
      </c>
      <c r="B47" s="172" t="s">
        <v>1347</v>
      </c>
      <c r="C47" s="173" t="s">
        <v>1348</v>
      </c>
      <c r="D47" s="173" t="s">
        <v>1349</v>
      </c>
      <c r="E47" s="179" t="s">
        <v>1350</v>
      </c>
      <c r="F47" s="180" t="s">
        <v>1351</v>
      </c>
      <c r="G47" s="180" t="s">
        <v>1352</v>
      </c>
      <c r="H47" s="173" t="s">
        <v>465</v>
      </c>
      <c r="I47" s="173"/>
      <c r="J47" s="175"/>
      <c r="K47" s="173"/>
      <c r="L47" s="176"/>
      <c r="M47" s="177"/>
      <c r="N47" s="177"/>
      <c r="O47" s="172"/>
      <c r="P47" s="172"/>
      <c r="Q47" s="95"/>
      <c r="R47" s="95"/>
      <c r="S47" s="95"/>
      <c r="T47" s="95"/>
      <c r="U47" s="95"/>
      <c r="V47" s="95"/>
      <c r="W47" s="95"/>
      <c r="X47" s="95"/>
      <c r="Y47" s="95"/>
    </row>
    <row r="48" ht="15.75" customHeight="1">
      <c r="A48" s="172" t="s">
        <v>1353</v>
      </c>
      <c r="B48" s="172" t="s">
        <v>1354</v>
      </c>
      <c r="C48" s="173" t="s">
        <v>1348</v>
      </c>
      <c r="D48" s="173" t="s">
        <v>1355</v>
      </c>
      <c r="E48" s="179" t="s">
        <v>1356</v>
      </c>
      <c r="F48" s="175"/>
      <c r="G48" s="175"/>
      <c r="H48" s="173" t="s">
        <v>465</v>
      </c>
      <c r="I48" s="173"/>
      <c r="J48" s="181" t="s">
        <v>1357</v>
      </c>
      <c r="K48" s="173"/>
      <c r="L48" s="176"/>
      <c r="M48" s="177"/>
      <c r="N48" s="177"/>
      <c r="O48" s="172"/>
      <c r="P48" s="172"/>
      <c r="Q48" s="95"/>
      <c r="R48" s="95"/>
      <c r="S48" s="95"/>
      <c r="T48" s="95"/>
      <c r="U48" s="95"/>
      <c r="V48" s="95"/>
      <c r="W48" s="95"/>
      <c r="X48" s="95"/>
      <c r="Y48" s="95"/>
    </row>
    <row r="49" ht="15.75" customHeight="1">
      <c r="A49" s="172" t="s">
        <v>596</v>
      </c>
      <c r="B49" s="172" t="s">
        <v>1358</v>
      </c>
      <c r="C49" s="173" t="s">
        <v>1348</v>
      </c>
      <c r="D49" s="173" t="s">
        <v>1359</v>
      </c>
      <c r="E49" s="179" t="s">
        <v>1360</v>
      </c>
      <c r="F49" s="180" t="s">
        <v>1361</v>
      </c>
      <c r="G49" s="175"/>
      <c r="H49" s="173" t="s">
        <v>1362</v>
      </c>
      <c r="I49" s="173"/>
      <c r="J49" s="175"/>
      <c r="K49" s="173"/>
      <c r="L49" s="176"/>
      <c r="M49" s="177"/>
      <c r="N49" s="177"/>
      <c r="O49" s="172"/>
      <c r="P49" s="172"/>
      <c r="Q49" s="95"/>
      <c r="R49" s="95"/>
      <c r="S49" s="95"/>
      <c r="T49" s="95"/>
      <c r="U49" s="95"/>
      <c r="V49" s="95"/>
      <c r="W49" s="95"/>
      <c r="X49" s="95"/>
      <c r="Y49" s="95"/>
    </row>
    <row r="50" ht="15.75" customHeight="1">
      <c r="A50" s="172" t="s">
        <v>1172</v>
      </c>
      <c r="B50" s="172" t="s">
        <v>1363</v>
      </c>
      <c r="C50" s="173" t="s">
        <v>1364</v>
      </c>
      <c r="D50" s="173" t="s">
        <v>1365</v>
      </c>
      <c r="E50" s="178" t="s">
        <v>1366</v>
      </c>
      <c r="F50" s="180" t="s">
        <v>1367</v>
      </c>
      <c r="G50" s="180" t="s">
        <v>1368</v>
      </c>
      <c r="H50" s="173" t="s">
        <v>21</v>
      </c>
      <c r="I50" s="173"/>
      <c r="J50" s="175" t="s">
        <v>1369</v>
      </c>
      <c r="K50" s="173"/>
      <c r="L50" s="176"/>
      <c r="M50" s="177"/>
      <c r="N50" s="177"/>
      <c r="O50" s="172"/>
      <c r="P50" s="172"/>
      <c r="Q50" s="95"/>
      <c r="R50" s="95"/>
      <c r="S50" s="95"/>
      <c r="T50" s="95"/>
      <c r="U50" s="95"/>
      <c r="V50" s="95"/>
      <c r="W50" s="95"/>
      <c r="X50" s="95"/>
      <c r="Y50" s="95"/>
    </row>
    <row r="51" ht="15.75" customHeight="1">
      <c r="A51" s="172" t="s">
        <v>1370</v>
      </c>
      <c r="B51" s="172" t="s">
        <v>1371</v>
      </c>
      <c r="C51" s="173" t="s">
        <v>1364</v>
      </c>
      <c r="D51" s="173" t="s">
        <v>1372</v>
      </c>
      <c r="E51" s="179" t="s">
        <v>1373</v>
      </c>
      <c r="F51" s="180" t="s">
        <v>1374</v>
      </c>
      <c r="G51" s="175"/>
      <c r="H51" s="173" t="s">
        <v>465</v>
      </c>
      <c r="I51" s="173"/>
      <c r="J51" s="175"/>
      <c r="K51" s="173"/>
      <c r="L51" s="176"/>
      <c r="M51" s="177"/>
      <c r="N51" s="177"/>
      <c r="O51" s="172"/>
      <c r="P51" s="172"/>
      <c r="Q51" s="95"/>
      <c r="R51" s="95"/>
      <c r="S51" s="95"/>
      <c r="T51" s="95"/>
      <c r="U51" s="95"/>
      <c r="V51" s="95"/>
      <c r="W51" s="95"/>
      <c r="X51" s="95"/>
      <c r="Y51" s="95"/>
    </row>
    <row r="52" ht="15.75" customHeight="1">
      <c r="A52" s="172" t="s">
        <v>1325</v>
      </c>
      <c r="B52" s="172" t="s">
        <v>1375</v>
      </c>
      <c r="C52" s="173" t="s">
        <v>1364</v>
      </c>
      <c r="D52" s="173" t="s">
        <v>1376</v>
      </c>
      <c r="E52" s="178" t="s">
        <v>1377</v>
      </c>
      <c r="F52" s="175"/>
      <c r="G52" s="175"/>
      <c r="H52" s="173" t="s">
        <v>465</v>
      </c>
      <c r="I52" s="173"/>
      <c r="J52" s="175"/>
      <c r="K52" s="173"/>
      <c r="L52" s="176"/>
      <c r="M52" s="177"/>
      <c r="N52" s="177"/>
      <c r="O52" s="172"/>
      <c r="P52" s="172"/>
      <c r="Q52" s="95"/>
      <c r="R52" s="95"/>
      <c r="S52" s="95"/>
      <c r="T52" s="95"/>
      <c r="U52" s="95"/>
      <c r="V52" s="95"/>
      <c r="W52" s="95"/>
      <c r="X52" s="95"/>
      <c r="Y52" s="95"/>
    </row>
    <row r="53" ht="15.75" customHeight="1">
      <c r="A53" s="172" t="s">
        <v>1172</v>
      </c>
      <c r="B53" s="172" t="s">
        <v>1378</v>
      </c>
      <c r="C53" s="173" t="s">
        <v>1379</v>
      </c>
      <c r="D53" s="173" t="s">
        <v>1380</v>
      </c>
      <c r="E53" s="179" t="s">
        <v>1381</v>
      </c>
      <c r="F53" s="175"/>
      <c r="G53" s="175"/>
      <c r="H53" s="173" t="s">
        <v>21</v>
      </c>
      <c r="I53" s="173"/>
      <c r="J53" s="175"/>
      <c r="K53" s="173"/>
      <c r="L53" s="176"/>
      <c r="M53" s="177"/>
      <c r="N53" s="177"/>
      <c r="O53" s="172"/>
      <c r="P53" s="172"/>
      <c r="Q53" s="95"/>
      <c r="R53" s="95"/>
      <c r="S53" s="95"/>
      <c r="T53" s="95"/>
      <c r="U53" s="95"/>
      <c r="V53" s="95"/>
      <c r="W53" s="95"/>
      <c r="X53" s="95"/>
      <c r="Y53" s="95"/>
    </row>
    <row r="54" ht="15.75" customHeight="1">
      <c r="A54" s="172" t="s">
        <v>1325</v>
      </c>
      <c r="B54" s="172" t="s">
        <v>1382</v>
      </c>
      <c r="C54" s="173" t="s">
        <v>1379</v>
      </c>
      <c r="D54" s="173" t="s">
        <v>1383</v>
      </c>
      <c r="E54" s="178" t="s">
        <v>1384</v>
      </c>
      <c r="F54" s="175"/>
      <c r="G54" s="175"/>
      <c r="H54" s="173" t="s">
        <v>192</v>
      </c>
      <c r="I54" s="173"/>
      <c r="J54" s="175"/>
      <c r="K54" s="173"/>
      <c r="L54" s="176"/>
      <c r="M54" s="177"/>
      <c r="N54" s="177"/>
      <c r="O54" s="172"/>
      <c r="P54" s="172"/>
      <c r="Q54" s="95"/>
      <c r="R54" s="95"/>
      <c r="S54" s="95"/>
      <c r="T54" s="95"/>
      <c r="U54" s="95"/>
      <c r="V54" s="95"/>
      <c r="W54" s="95"/>
      <c r="X54" s="95"/>
      <c r="Y54" s="95"/>
    </row>
    <row r="55" ht="15.75" customHeight="1">
      <c r="A55" s="172" t="s">
        <v>1385</v>
      </c>
      <c r="B55" s="172" t="s">
        <v>357</v>
      </c>
      <c r="C55" s="173" t="s">
        <v>1379</v>
      </c>
      <c r="D55" s="173" t="s">
        <v>1386</v>
      </c>
      <c r="E55" s="178" t="s">
        <v>1387</v>
      </c>
      <c r="F55" s="175"/>
      <c r="G55" s="175"/>
      <c r="H55" s="173" t="s">
        <v>465</v>
      </c>
      <c r="I55" s="173"/>
      <c r="J55" s="175"/>
      <c r="K55" s="173"/>
      <c r="L55" s="176"/>
      <c r="M55" s="177"/>
      <c r="N55" s="177"/>
      <c r="O55" s="172"/>
      <c r="P55" s="172"/>
      <c r="Q55" s="95"/>
      <c r="R55" s="95"/>
      <c r="S55" s="95"/>
      <c r="T55" s="95"/>
      <c r="U55" s="95"/>
      <c r="V55" s="95"/>
      <c r="W55" s="95"/>
      <c r="X55" s="95"/>
      <c r="Y55" s="95"/>
    </row>
    <row r="56" ht="15.75" customHeight="1">
      <c r="A56" s="172" t="s">
        <v>1325</v>
      </c>
      <c r="B56" s="172" t="s">
        <v>1388</v>
      </c>
      <c r="C56" s="173" t="s">
        <v>1389</v>
      </c>
      <c r="D56" s="173" t="s">
        <v>1390</v>
      </c>
      <c r="E56" s="179" t="s">
        <v>1391</v>
      </c>
      <c r="F56" s="175"/>
      <c r="G56" s="175"/>
      <c r="H56" s="173" t="s">
        <v>465</v>
      </c>
      <c r="I56" s="173"/>
      <c r="J56" s="175"/>
      <c r="K56" s="173"/>
      <c r="L56" s="176"/>
      <c r="M56" s="177"/>
      <c r="N56" s="177"/>
      <c r="O56" s="172"/>
      <c r="P56" s="172"/>
      <c r="Q56" s="95"/>
      <c r="R56" s="95"/>
      <c r="S56" s="95"/>
      <c r="T56" s="95"/>
      <c r="U56" s="95"/>
      <c r="V56" s="95"/>
      <c r="W56" s="95"/>
      <c r="X56" s="95"/>
      <c r="Y56" s="95"/>
    </row>
    <row r="57" ht="15.75" customHeight="1">
      <c r="A57" s="172" t="s">
        <v>596</v>
      </c>
      <c r="B57" s="172" t="s">
        <v>1392</v>
      </c>
      <c r="C57" s="173" t="s">
        <v>1389</v>
      </c>
      <c r="D57" s="173" t="s">
        <v>1393</v>
      </c>
      <c r="E57" s="173" t="s">
        <v>1393</v>
      </c>
      <c r="F57" s="175"/>
      <c r="G57" s="175"/>
      <c r="H57" s="173" t="s">
        <v>21</v>
      </c>
      <c r="I57" s="173"/>
      <c r="J57" s="175"/>
      <c r="K57" s="173"/>
      <c r="L57" s="176"/>
      <c r="M57" s="177"/>
      <c r="N57" s="177"/>
      <c r="O57" s="172"/>
      <c r="P57" s="172"/>
      <c r="Q57" s="95"/>
      <c r="R57" s="95"/>
      <c r="S57" s="95"/>
      <c r="T57" s="95"/>
      <c r="U57" s="95"/>
      <c r="V57" s="95"/>
      <c r="W57" s="95"/>
      <c r="X57" s="95"/>
      <c r="Y57" s="95"/>
    </row>
    <row r="58" ht="15.75" customHeight="1">
      <c r="A58" s="172"/>
      <c r="B58" s="172" t="s">
        <v>1394</v>
      </c>
      <c r="C58" s="173"/>
      <c r="D58" s="173"/>
      <c r="E58" s="173"/>
      <c r="F58" s="175"/>
      <c r="G58" s="175"/>
      <c r="H58" s="173"/>
      <c r="I58" s="173"/>
      <c r="J58" s="175"/>
      <c r="K58" s="173"/>
      <c r="L58" s="177"/>
      <c r="M58" s="177"/>
      <c r="N58" s="177"/>
      <c r="O58" s="172"/>
      <c r="P58" s="172"/>
      <c r="Q58" s="95"/>
      <c r="R58" s="95"/>
      <c r="S58" s="95"/>
      <c r="T58" s="95"/>
      <c r="U58" s="95"/>
      <c r="V58" s="95"/>
      <c r="W58" s="95"/>
      <c r="X58" s="95"/>
      <c r="Y58" s="95"/>
    </row>
    <row r="59" ht="15.75" customHeight="1">
      <c r="A59" s="95"/>
      <c r="B59" s="95"/>
      <c r="C59" s="95"/>
      <c r="D59" s="95"/>
      <c r="E59" s="95"/>
      <c r="F59" s="95"/>
      <c r="G59" s="95"/>
      <c r="H59" s="95"/>
      <c r="I59" s="95"/>
      <c r="J59" s="95"/>
      <c r="K59" s="95"/>
      <c r="L59" s="95"/>
      <c r="M59" s="95"/>
      <c r="N59" s="95"/>
      <c r="O59" s="95"/>
      <c r="P59" s="95"/>
      <c r="Q59" s="95"/>
      <c r="R59" s="95"/>
      <c r="S59" s="95"/>
      <c r="T59" s="95"/>
      <c r="U59" s="95"/>
      <c r="V59" s="95"/>
      <c r="W59" s="95"/>
      <c r="X59" s="95"/>
      <c r="Y59" s="95"/>
    </row>
    <row r="60" ht="15.75" customHeight="1">
      <c r="A60" s="95"/>
      <c r="B60" s="95"/>
      <c r="C60" s="95"/>
      <c r="D60" s="95"/>
      <c r="E60" s="95"/>
      <c r="F60" s="95"/>
      <c r="G60" s="95"/>
      <c r="H60" s="95"/>
      <c r="I60" s="95"/>
      <c r="J60" s="95"/>
      <c r="K60" s="95"/>
      <c r="L60" s="95"/>
      <c r="M60" s="95"/>
      <c r="N60" s="95"/>
      <c r="O60" s="95"/>
      <c r="P60" s="95"/>
      <c r="Q60" s="95"/>
      <c r="R60" s="95"/>
      <c r="S60" s="95"/>
      <c r="T60" s="95"/>
      <c r="U60" s="95"/>
      <c r="V60" s="95"/>
      <c r="W60" s="95"/>
      <c r="X60" s="95"/>
      <c r="Y60" s="95"/>
    </row>
    <row r="61" ht="15.75" customHeight="1">
      <c r="A61" s="95"/>
      <c r="B61" s="95"/>
      <c r="C61" s="95"/>
      <c r="D61" s="95"/>
      <c r="E61" s="95"/>
      <c r="F61" s="95"/>
      <c r="G61" s="95"/>
      <c r="H61" s="95"/>
      <c r="I61" s="95"/>
      <c r="J61" s="95"/>
      <c r="K61" s="95"/>
      <c r="L61" s="95"/>
      <c r="M61" s="95"/>
      <c r="N61" s="95"/>
      <c r="O61" s="95"/>
      <c r="P61" s="95"/>
      <c r="Q61" s="95"/>
      <c r="R61" s="95"/>
      <c r="S61" s="95"/>
      <c r="T61" s="95"/>
      <c r="U61" s="95"/>
      <c r="V61" s="95"/>
      <c r="W61" s="95"/>
      <c r="X61" s="95"/>
      <c r="Y61" s="95"/>
    </row>
    <row r="62" ht="15.75" customHeight="1">
      <c r="A62" s="95"/>
      <c r="B62" s="95"/>
      <c r="C62" s="95"/>
      <c r="D62" s="95"/>
      <c r="E62" s="95"/>
      <c r="F62" s="95"/>
      <c r="G62" s="95"/>
      <c r="H62" s="95"/>
      <c r="I62" s="95"/>
      <c r="J62" s="95"/>
      <c r="K62" s="95"/>
      <c r="L62" s="95"/>
      <c r="M62" s="95"/>
      <c r="N62" s="95"/>
      <c r="O62" s="95"/>
      <c r="P62" s="95"/>
      <c r="Q62" s="95"/>
      <c r="R62" s="95"/>
      <c r="S62" s="95"/>
      <c r="T62" s="95"/>
      <c r="U62" s="95"/>
      <c r="V62" s="95"/>
      <c r="W62" s="95"/>
      <c r="X62" s="95"/>
      <c r="Y62" s="95"/>
    </row>
    <row r="63" ht="15.75" customHeight="1">
      <c r="A63" s="95"/>
      <c r="B63" s="95"/>
      <c r="C63" s="95"/>
      <c r="D63" s="95"/>
      <c r="E63" s="95"/>
      <c r="F63" s="95"/>
      <c r="G63" s="95"/>
      <c r="H63" s="95"/>
      <c r="I63" s="95"/>
      <c r="J63" s="95"/>
      <c r="K63" s="95"/>
      <c r="L63" s="95"/>
      <c r="M63" s="95"/>
      <c r="N63" s="95"/>
      <c r="O63" s="95"/>
      <c r="P63" s="95"/>
      <c r="Q63" s="95"/>
      <c r="R63" s="95"/>
      <c r="S63" s="95"/>
      <c r="T63" s="95"/>
      <c r="U63" s="95"/>
      <c r="V63" s="95"/>
      <c r="W63" s="95"/>
      <c r="X63" s="95"/>
      <c r="Y63" s="95"/>
    </row>
    <row r="64" ht="15.75" customHeight="1">
      <c r="A64" s="95"/>
      <c r="B64" s="95"/>
      <c r="C64" s="95"/>
      <c r="D64" s="95"/>
      <c r="E64" s="95"/>
      <c r="F64" s="95"/>
      <c r="G64" s="95"/>
      <c r="H64" s="95"/>
      <c r="I64" s="95"/>
      <c r="J64" s="95"/>
      <c r="K64" s="95"/>
      <c r="L64" s="95"/>
      <c r="M64" s="95"/>
      <c r="N64" s="95"/>
      <c r="O64" s="95"/>
      <c r="P64" s="95"/>
      <c r="Q64" s="95"/>
      <c r="R64" s="95"/>
      <c r="S64" s="95"/>
      <c r="T64" s="95"/>
      <c r="U64" s="95"/>
      <c r="V64" s="95"/>
      <c r="W64" s="95"/>
      <c r="X64" s="95"/>
      <c r="Y64" s="95"/>
    </row>
    <row r="65" ht="15.75" customHeight="1">
      <c r="A65" s="95"/>
      <c r="B65" s="95"/>
      <c r="C65" s="95"/>
      <c r="D65" s="95"/>
      <c r="E65" s="95"/>
      <c r="F65" s="95"/>
      <c r="G65" s="95"/>
      <c r="H65" s="95"/>
      <c r="I65" s="95"/>
      <c r="J65" s="95"/>
      <c r="K65" s="95"/>
      <c r="L65" s="95"/>
      <c r="M65" s="95"/>
      <c r="N65" s="95"/>
      <c r="O65" s="95"/>
      <c r="P65" s="95"/>
      <c r="Q65" s="95"/>
      <c r="R65" s="95"/>
      <c r="S65" s="95"/>
      <c r="T65" s="95"/>
      <c r="U65" s="95"/>
      <c r="V65" s="95"/>
      <c r="W65" s="95"/>
      <c r="X65" s="95"/>
      <c r="Y65" s="95"/>
    </row>
    <row r="66" ht="15.75" customHeight="1">
      <c r="A66" s="95"/>
      <c r="B66" s="95"/>
      <c r="C66" s="95"/>
      <c r="D66" s="95"/>
      <c r="E66" s="95"/>
      <c r="F66" s="95"/>
      <c r="G66" s="95"/>
      <c r="H66" s="95"/>
      <c r="I66" s="95"/>
      <c r="J66" s="95"/>
      <c r="K66" s="95"/>
      <c r="L66" s="95"/>
      <c r="M66" s="95"/>
      <c r="N66" s="95"/>
      <c r="O66" s="95"/>
      <c r="P66" s="95"/>
      <c r="Q66" s="95"/>
      <c r="R66" s="95"/>
      <c r="S66" s="95"/>
      <c r="T66" s="95"/>
      <c r="U66" s="95"/>
      <c r="V66" s="95"/>
      <c r="W66" s="95"/>
      <c r="X66" s="95"/>
      <c r="Y66" s="95"/>
    </row>
    <row r="67" ht="15.75" customHeight="1">
      <c r="A67" s="95"/>
      <c r="B67" s="95"/>
      <c r="C67" s="95"/>
      <c r="D67" s="95"/>
      <c r="E67" s="95"/>
      <c r="F67" s="95"/>
      <c r="G67" s="95"/>
      <c r="H67" s="95"/>
      <c r="I67" s="95"/>
      <c r="J67" s="95"/>
      <c r="K67" s="95"/>
      <c r="L67" s="95"/>
      <c r="M67" s="95"/>
      <c r="N67" s="95"/>
      <c r="O67" s="95"/>
      <c r="P67" s="95"/>
      <c r="Q67" s="95"/>
      <c r="R67" s="95"/>
      <c r="S67" s="95"/>
      <c r="T67" s="95"/>
      <c r="U67" s="95"/>
      <c r="V67" s="95"/>
      <c r="W67" s="95"/>
      <c r="X67" s="95"/>
      <c r="Y67" s="95"/>
    </row>
    <row r="68" ht="15.75" customHeight="1">
      <c r="A68" s="95"/>
      <c r="B68" s="95"/>
      <c r="C68" s="95"/>
      <c r="D68" s="95"/>
      <c r="E68" s="95"/>
      <c r="F68" s="95"/>
      <c r="G68" s="95"/>
      <c r="H68" s="95"/>
      <c r="I68" s="95"/>
      <c r="J68" s="95"/>
      <c r="K68" s="95"/>
      <c r="L68" s="95"/>
      <c r="M68" s="95"/>
      <c r="N68" s="95"/>
      <c r="O68" s="95"/>
      <c r="P68" s="95"/>
      <c r="Q68" s="95"/>
      <c r="R68" s="95"/>
      <c r="S68" s="95"/>
      <c r="T68" s="95"/>
      <c r="U68" s="95"/>
      <c r="V68" s="95"/>
      <c r="W68" s="95"/>
      <c r="X68" s="95"/>
      <c r="Y68" s="95"/>
    </row>
    <row r="69" ht="15.75" customHeight="1">
      <c r="A69" s="95"/>
      <c r="B69" s="95"/>
      <c r="C69" s="95"/>
      <c r="D69" s="95"/>
      <c r="E69" s="95"/>
      <c r="F69" s="95"/>
      <c r="G69" s="95"/>
      <c r="H69" s="95"/>
      <c r="I69" s="95"/>
      <c r="J69" s="95"/>
      <c r="K69" s="95"/>
      <c r="L69" s="95"/>
      <c r="M69" s="95"/>
      <c r="N69" s="95"/>
      <c r="O69" s="95"/>
      <c r="P69" s="95"/>
      <c r="Q69" s="95"/>
      <c r="R69" s="95"/>
      <c r="S69" s="95"/>
      <c r="T69" s="95"/>
      <c r="U69" s="95"/>
      <c r="V69" s="95"/>
      <c r="W69" s="95"/>
      <c r="X69" s="95"/>
      <c r="Y69" s="95"/>
    </row>
    <row r="70" ht="15.75" customHeight="1">
      <c r="A70" s="95"/>
      <c r="B70" s="95"/>
      <c r="C70" s="95"/>
      <c r="D70" s="95"/>
      <c r="E70" s="95"/>
      <c r="F70" s="95"/>
      <c r="G70" s="95"/>
      <c r="H70" s="95"/>
      <c r="I70" s="95"/>
      <c r="J70" s="95"/>
      <c r="K70" s="95"/>
      <c r="L70" s="95"/>
      <c r="M70" s="95"/>
      <c r="N70" s="95"/>
      <c r="O70" s="95"/>
      <c r="P70" s="95"/>
      <c r="Q70" s="95"/>
      <c r="R70" s="95"/>
      <c r="S70" s="95"/>
      <c r="T70" s="95"/>
      <c r="U70" s="95"/>
      <c r="V70" s="95"/>
      <c r="W70" s="95"/>
      <c r="X70" s="95"/>
      <c r="Y70" s="95"/>
    </row>
    <row r="71" ht="15.75" customHeight="1">
      <c r="A71" s="95"/>
      <c r="B71" s="95"/>
      <c r="C71" s="95"/>
      <c r="D71" s="95"/>
      <c r="E71" s="95"/>
      <c r="F71" s="95"/>
      <c r="G71" s="95"/>
      <c r="H71" s="95"/>
      <c r="I71" s="95"/>
      <c r="J71" s="95"/>
      <c r="K71" s="95"/>
      <c r="L71" s="95"/>
      <c r="M71" s="95"/>
      <c r="N71" s="95"/>
      <c r="O71" s="95"/>
      <c r="P71" s="95"/>
      <c r="Q71" s="95"/>
      <c r="R71" s="95"/>
      <c r="S71" s="95"/>
      <c r="T71" s="95"/>
      <c r="U71" s="95"/>
      <c r="V71" s="95"/>
      <c r="W71" s="95"/>
      <c r="X71" s="95"/>
      <c r="Y71" s="95"/>
    </row>
    <row r="72" ht="15.75" customHeight="1">
      <c r="A72" s="95"/>
      <c r="B72" s="95"/>
      <c r="C72" s="95"/>
      <c r="D72" s="95"/>
      <c r="E72" s="95"/>
      <c r="F72" s="95"/>
      <c r="G72" s="95"/>
      <c r="H72" s="95"/>
      <c r="I72" s="95"/>
      <c r="J72" s="95"/>
      <c r="K72" s="95"/>
      <c r="L72" s="95"/>
      <c r="M72" s="95"/>
      <c r="N72" s="95"/>
      <c r="O72" s="95"/>
      <c r="P72" s="95"/>
      <c r="Q72" s="95"/>
      <c r="R72" s="95"/>
      <c r="S72" s="95"/>
      <c r="T72" s="95"/>
      <c r="U72" s="95"/>
      <c r="V72" s="95"/>
      <c r="W72" s="95"/>
      <c r="X72" s="95"/>
      <c r="Y72" s="95"/>
    </row>
    <row r="73" ht="15.75" customHeight="1">
      <c r="A73" s="95"/>
      <c r="B73" s="95"/>
      <c r="C73" s="95"/>
      <c r="D73" s="95"/>
      <c r="E73" s="95"/>
      <c r="F73" s="95"/>
      <c r="G73" s="95"/>
      <c r="H73" s="95"/>
      <c r="I73" s="95"/>
      <c r="J73" s="95"/>
      <c r="K73" s="95"/>
      <c r="L73" s="95"/>
      <c r="M73" s="95"/>
      <c r="N73" s="95"/>
      <c r="O73" s="95"/>
      <c r="P73" s="95"/>
      <c r="Q73" s="95"/>
      <c r="R73" s="95"/>
      <c r="S73" s="95"/>
      <c r="T73" s="95"/>
      <c r="U73" s="95"/>
      <c r="V73" s="95"/>
      <c r="W73" s="95"/>
      <c r="X73" s="95"/>
      <c r="Y73" s="95"/>
    </row>
    <row r="74" ht="15.75" customHeight="1">
      <c r="A74" s="95"/>
      <c r="B74" s="95"/>
      <c r="C74" s="95"/>
      <c r="D74" s="95"/>
      <c r="E74" s="95"/>
      <c r="F74" s="95"/>
      <c r="G74" s="95"/>
      <c r="H74" s="95"/>
      <c r="I74" s="95"/>
      <c r="J74" s="95"/>
      <c r="K74" s="95"/>
      <c r="L74" s="95"/>
      <c r="M74" s="95"/>
      <c r="N74" s="95"/>
      <c r="O74" s="95"/>
      <c r="P74" s="95"/>
      <c r="Q74" s="95"/>
      <c r="R74" s="95"/>
      <c r="S74" s="95"/>
      <c r="T74" s="95"/>
      <c r="U74" s="95"/>
      <c r="V74" s="95"/>
      <c r="W74" s="95"/>
      <c r="X74" s="95"/>
      <c r="Y74" s="95"/>
    </row>
    <row r="75" ht="15.75" customHeight="1">
      <c r="A75" s="95"/>
      <c r="B75" s="95"/>
      <c r="C75" s="95"/>
      <c r="D75" s="95"/>
      <c r="E75" s="95"/>
      <c r="F75" s="95"/>
      <c r="G75" s="95"/>
      <c r="H75" s="95"/>
      <c r="I75" s="95"/>
      <c r="J75" s="95"/>
      <c r="K75" s="95"/>
      <c r="L75" s="95"/>
      <c r="M75" s="95"/>
      <c r="N75" s="95"/>
      <c r="O75" s="95"/>
      <c r="P75" s="95"/>
      <c r="Q75" s="95"/>
      <c r="R75" s="95"/>
      <c r="S75" s="95"/>
      <c r="T75" s="95"/>
      <c r="U75" s="95"/>
      <c r="V75" s="95"/>
      <c r="W75" s="95"/>
      <c r="X75" s="95"/>
      <c r="Y75" s="95"/>
    </row>
    <row r="76" ht="15.75"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row>
    <row r="77" ht="15.75" customHeight="1">
      <c r="A77" s="95"/>
      <c r="B77" s="95"/>
      <c r="C77" s="95"/>
      <c r="D77" s="95"/>
      <c r="E77" s="95"/>
      <c r="F77" s="95"/>
      <c r="G77" s="95"/>
      <c r="H77" s="95"/>
      <c r="I77" s="95"/>
      <c r="J77" s="95"/>
      <c r="K77" s="95"/>
      <c r="L77" s="95"/>
      <c r="M77" s="95"/>
      <c r="N77" s="95"/>
      <c r="O77" s="95"/>
      <c r="P77" s="95"/>
      <c r="Q77" s="95"/>
      <c r="R77" s="95"/>
      <c r="S77" s="95"/>
      <c r="T77" s="95"/>
      <c r="U77" s="95"/>
      <c r="V77" s="95"/>
      <c r="W77" s="95"/>
      <c r="X77" s="95"/>
      <c r="Y77" s="95"/>
    </row>
    <row r="78" ht="15.75" customHeight="1">
      <c r="A78" s="95"/>
      <c r="B78" s="95"/>
      <c r="C78" s="95"/>
      <c r="D78" s="95"/>
      <c r="E78" s="95"/>
      <c r="F78" s="95"/>
      <c r="G78" s="95"/>
      <c r="H78" s="95"/>
      <c r="I78" s="95"/>
      <c r="J78" s="95"/>
      <c r="K78" s="95"/>
      <c r="L78" s="95"/>
      <c r="M78" s="95"/>
      <c r="N78" s="95"/>
      <c r="O78" s="95"/>
      <c r="P78" s="95"/>
      <c r="Q78" s="95"/>
      <c r="R78" s="95"/>
      <c r="S78" s="95"/>
      <c r="T78" s="95"/>
      <c r="U78" s="95"/>
      <c r="V78" s="95"/>
      <c r="W78" s="95"/>
      <c r="X78" s="95"/>
      <c r="Y78" s="95"/>
    </row>
    <row r="79" ht="15.75" customHeight="1">
      <c r="A79" s="95"/>
      <c r="B79" s="95"/>
      <c r="C79" s="95"/>
      <c r="D79" s="95"/>
      <c r="E79" s="95"/>
      <c r="F79" s="95"/>
      <c r="G79" s="95"/>
      <c r="H79" s="95"/>
      <c r="I79" s="95"/>
      <c r="J79" s="95"/>
      <c r="K79" s="95"/>
      <c r="L79" s="95"/>
      <c r="M79" s="95"/>
      <c r="N79" s="95"/>
      <c r="O79" s="95"/>
      <c r="P79" s="95"/>
      <c r="Q79" s="95"/>
      <c r="R79" s="95"/>
      <c r="S79" s="95"/>
      <c r="T79" s="95"/>
      <c r="U79" s="95"/>
      <c r="V79" s="95"/>
      <c r="W79" s="95"/>
      <c r="X79" s="95"/>
      <c r="Y79" s="95"/>
    </row>
    <row r="80" ht="15.75" customHeight="1">
      <c r="A80" s="95"/>
      <c r="B80" s="95"/>
      <c r="C80" s="95"/>
      <c r="D80" s="95"/>
      <c r="E80" s="95"/>
      <c r="F80" s="95"/>
      <c r="G80" s="95"/>
      <c r="H80" s="95"/>
      <c r="I80" s="95"/>
      <c r="J80" s="95"/>
      <c r="K80" s="95"/>
      <c r="L80" s="95"/>
      <c r="M80" s="95"/>
      <c r="N80" s="95"/>
      <c r="O80" s="95"/>
      <c r="P80" s="95"/>
      <c r="Q80" s="95"/>
      <c r="R80" s="95"/>
      <c r="S80" s="95"/>
      <c r="T80" s="95"/>
      <c r="U80" s="95"/>
      <c r="V80" s="95"/>
      <c r="W80" s="95"/>
      <c r="X80" s="95"/>
      <c r="Y80" s="95"/>
    </row>
    <row r="81" ht="15.75" customHeight="1">
      <c r="A81" s="95"/>
      <c r="B81" s="95"/>
      <c r="C81" s="95"/>
      <c r="D81" s="95"/>
      <c r="E81" s="95"/>
      <c r="F81" s="95"/>
      <c r="G81" s="95"/>
      <c r="H81" s="95"/>
      <c r="I81" s="95"/>
      <c r="J81" s="95"/>
      <c r="K81" s="95"/>
      <c r="L81" s="95"/>
      <c r="M81" s="95"/>
      <c r="N81" s="95"/>
      <c r="O81" s="95"/>
      <c r="P81" s="95"/>
      <c r="Q81" s="95"/>
      <c r="R81" s="95"/>
      <c r="S81" s="95"/>
      <c r="T81" s="95"/>
      <c r="U81" s="95"/>
      <c r="V81" s="95"/>
      <c r="W81" s="95"/>
      <c r="X81" s="95"/>
      <c r="Y81" s="95"/>
    </row>
    <row r="82" ht="15.75" customHeight="1">
      <c r="A82" s="95"/>
      <c r="B82" s="95"/>
      <c r="C82" s="95"/>
      <c r="D82" s="95"/>
      <c r="E82" s="95"/>
      <c r="F82" s="95"/>
      <c r="G82" s="95"/>
      <c r="H82" s="95"/>
      <c r="I82" s="95"/>
      <c r="J82" s="95"/>
      <c r="K82" s="95"/>
      <c r="L82" s="95"/>
      <c r="M82" s="95"/>
      <c r="N82" s="95"/>
      <c r="O82" s="95"/>
      <c r="P82" s="95"/>
      <c r="Q82" s="95"/>
      <c r="R82" s="95"/>
      <c r="S82" s="95"/>
      <c r="T82" s="95"/>
      <c r="U82" s="95"/>
      <c r="V82" s="95"/>
      <c r="W82" s="95"/>
      <c r="X82" s="95"/>
      <c r="Y82" s="95"/>
    </row>
    <row r="83" ht="15.75" customHeight="1">
      <c r="A83" s="95"/>
      <c r="B83" s="95"/>
      <c r="C83" s="95"/>
      <c r="D83" s="95"/>
      <c r="E83" s="95"/>
      <c r="F83" s="95"/>
      <c r="G83" s="95"/>
      <c r="H83" s="95"/>
      <c r="I83" s="95"/>
      <c r="J83" s="95"/>
      <c r="K83" s="95"/>
      <c r="L83" s="95"/>
      <c r="M83" s="95"/>
      <c r="N83" s="95"/>
      <c r="O83" s="95"/>
      <c r="P83" s="95"/>
      <c r="Q83" s="95"/>
      <c r="R83" s="95"/>
      <c r="S83" s="95"/>
      <c r="T83" s="95"/>
      <c r="U83" s="95"/>
      <c r="V83" s="95"/>
      <c r="W83" s="95"/>
      <c r="X83" s="95"/>
      <c r="Y83" s="95"/>
    </row>
    <row r="84" ht="15.75" customHeight="1">
      <c r="A84" s="95"/>
      <c r="B84" s="95"/>
      <c r="C84" s="95"/>
      <c r="D84" s="95"/>
      <c r="E84" s="95"/>
      <c r="F84" s="95"/>
      <c r="G84" s="95"/>
      <c r="H84" s="95"/>
      <c r="I84" s="95"/>
      <c r="J84" s="95"/>
      <c r="K84" s="95"/>
      <c r="L84" s="95"/>
      <c r="M84" s="95"/>
      <c r="N84" s="95"/>
      <c r="O84" s="95"/>
      <c r="P84" s="95"/>
      <c r="Q84" s="95"/>
      <c r="R84" s="95"/>
      <c r="S84" s="95"/>
      <c r="T84" s="95"/>
      <c r="U84" s="95"/>
      <c r="V84" s="95"/>
      <c r="W84" s="95"/>
      <c r="X84" s="95"/>
      <c r="Y84" s="95"/>
    </row>
    <row r="85" ht="15.75" customHeight="1">
      <c r="A85" s="95"/>
      <c r="B85" s="95"/>
      <c r="C85" s="95"/>
      <c r="D85" s="95"/>
      <c r="E85" s="95"/>
      <c r="F85" s="95"/>
      <c r="G85" s="95"/>
      <c r="H85" s="95"/>
      <c r="I85" s="95"/>
      <c r="J85" s="95"/>
      <c r="K85" s="95"/>
      <c r="L85" s="95"/>
      <c r="M85" s="95"/>
      <c r="N85" s="95"/>
      <c r="O85" s="95"/>
      <c r="P85" s="95"/>
      <c r="Q85" s="95"/>
      <c r="R85" s="95"/>
      <c r="S85" s="95"/>
      <c r="T85" s="95"/>
      <c r="U85" s="95"/>
      <c r="V85" s="95"/>
      <c r="W85" s="95"/>
      <c r="X85" s="95"/>
      <c r="Y85" s="95"/>
    </row>
    <row r="86" ht="15.75" customHeight="1">
      <c r="A86" s="95"/>
      <c r="B86" s="95"/>
      <c r="C86" s="95"/>
      <c r="D86" s="95"/>
      <c r="E86" s="95"/>
      <c r="F86" s="95"/>
      <c r="G86" s="95"/>
      <c r="H86" s="95"/>
      <c r="I86" s="95"/>
      <c r="J86" s="95"/>
      <c r="K86" s="95"/>
      <c r="L86" s="95"/>
      <c r="M86" s="95"/>
      <c r="N86" s="95"/>
      <c r="O86" s="95"/>
      <c r="P86" s="95"/>
      <c r="Q86" s="95"/>
      <c r="R86" s="95"/>
      <c r="S86" s="95"/>
      <c r="T86" s="95"/>
      <c r="U86" s="95"/>
      <c r="V86" s="95"/>
      <c r="W86" s="95"/>
      <c r="X86" s="95"/>
      <c r="Y86" s="95"/>
    </row>
    <row r="87" ht="15.75" customHeight="1">
      <c r="A87" s="95"/>
      <c r="B87" s="95"/>
      <c r="C87" s="95"/>
      <c r="D87" s="95"/>
      <c r="E87" s="95"/>
      <c r="F87" s="95"/>
      <c r="G87" s="95"/>
      <c r="H87" s="95"/>
      <c r="I87" s="95"/>
      <c r="J87" s="95"/>
      <c r="K87" s="95"/>
      <c r="L87" s="95"/>
      <c r="M87" s="95"/>
      <c r="N87" s="95"/>
      <c r="O87" s="95"/>
      <c r="P87" s="95"/>
      <c r="Q87" s="95"/>
      <c r="R87" s="95"/>
      <c r="S87" s="95"/>
      <c r="T87" s="95"/>
      <c r="U87" s="95"/>
      <c r="V87" s="95"/>
      <c r="W87" s="95"/>
      <c r="X87" s="95"/>
      <c r="Y87" s="95"/>
    </row>
    <row r="88" ht="15.75" customHeight="1">
      <c r="A88" s="95"/>
      <c r="B88" s="95"/>
      <c r="C88" s="95"/>
      <c r="D88" s="95"/>
      <c r="E88" s="95"/>
      <c r="F88" s="95"/>
      <c r="G88" s="95"/>
      <c r="H88" s="95"/>
      <c r="I88" s="95"/>
      <c r="J88" s="95"/>
      <c r="K88" s="95"/>
      <c r="L88" s="95"/>
      <c r="M88" s="95"/>
      <c r="N88" s="95"/>
      <c r="O88" s="95"/>
      <c r="P88" s="95"/>
      <c r="Q88" s="95"/>
      <c r="R88" s="95"/>
      <c r="S88" s="95"/>
      <c r="T88" s="95"/>
      <c r="U88" s="95"/>
      <c r="V88" s="95"/>
      <c r="W88" s="95"/>
      <c r="X88" s="95"/>
      <c r="Y88" s="95"/>
    </row>
    <row r="89" ht="15.75" customHeight="1">
      <c r="A89" s="95"/>
      <c r="B89" s="95"/>
      <c r="C89" s="95"/>
      <c r="D89" s="95"/>
      <c r="E89" s="95"/>
      <c r="F89" s="95"/>
      <c r="G89" s="95"/>
      <c r="H89" s="95"/>
      <c r="I89" s="95"/>
      <c r="J89" s="95"/>
      <c r="K89" s="95"/>
      <c r="L89" s="95"/>
      <c r="M89" s="95"/>
      <c r="N89" s="95"/>
      <c r="O89" s="95"/>
      <c r="P89" s="95"/>
      <c r="Q89" s="95"/>
      <c r="R89" s="95"/>
      <c r="S89" s="95"/>
      <c r="T89" s="95"/>
      <c r="U89" s="95"/>
      <c r="V89" s="95"/>
      <c r="W89" s="95"/>
      <c r="X89" s="95"/>
      <c r="Y89" s="95"/>
    </row>
    <row r="90" ht="15.75" customHeight="1">
      <c r="A90" s="95"/>
      <c r="B90" s="95"/>
      <c r="C90" s="95"/>
      <c r="D90" s="95"/>
      <c r="E90" s="95"/>
      <c r="F90" s="95"/>
      <c r="G90" s="95"/>
      <c r="H90" s="95"/>
      <c r="I90" s="95"/>
      <c r="J90" s="95"/>
      <c r="K90" s="95"/>
      <c r="L90" s="95"/>
      <c r="M90" s="95"/>
      <c r="N90" s="95"/>
      <c r="O90" s="95"/>
      <c r="P90" s="95"/>
      <c r="Q90" s="95"/>
      <c r="R90" s="95"/>
      <c r="S90" s="95"/>
      <c r="T90" s="95"/>
      <c r="U90" s="95"/>
      <c r="V90" s="95"/>
      <c r="W90" s="95"/>
      <c r="X90" s="95"/>
      <c r="Y90" s="95"/>
    </row>
    <row r="91" ht="15.75" customHeight="1">
      <c r="A91" s="95"/>
      <c r="B91" s="95"/>
      <c r="C91" s="95"/>
      <c r="D91" s="95"/>
      <c r="E91" s="95"/>
      <c r="F91" s="95"/>
      <c r="G91" s="95"/>
      <c r="H91" s="95"/>
      <c r="I91" s="95"/>
      <c r="J91" s="95"/>
      <c r="K91" s="95"/>
      <c r="L91" s="95"/>
      <c r="M91" s="95"/>
      <c r="N91" s="95"/>
      <c r="O91" s="95"/>
      <c r="P91" s="95"/>
      <c r="Q91" s="95"/>
      <c r="R91" s="95"/>
      <c r="S91" s="95"/>
      <c r="T91" s="95"/>
      <c r="U91" s="95"/>
      <c r="V91" s="95"/>
      <c r="W91" s="95"/>
      <c r="X91" s="95"/>
      <c r="Y91" s="95"/>
    </row>
    <row r="92" ht="15.75" customHeight="1">
      <c r="A92" s="95"/>
      <c r="B92" s="95"/>
      <c r="C92" s="95"/>
      <c r="D92" s="95"/>
      <c r="E92" s="95"/>
      <c r="F92" s="95"/>
      <c r="G92" s="95"/>
      <c r="H92" s="95"/>
      <c r="I92" s="95"/>
      <c r="J92" s="95"/>
      <c r="K92" s="95"/>
      <c r="L92" s="95"/>
      <c r="M92" s="95"/>
      <c r="N92" s="95"/>
      <c r="O92" s="95"/>
      <c r="P92" s="95"/>
      <c r="Q92" s="95"/>
      <c r="R92" s="95"/>
      <c r="S92" s="95"/>
      <c r="T92" s="95"/>
      <c r="U92" s="95"/>
      <c r="V92" s="95"/>
      <c r="W92" s="95"/>
      <c r="X92" s="95"/>
      <c r="Y92" s="95"/>
    </row>
    <row r="93" ht="15.75" customHeight="1">
      <c r="A93" s="95"/>
      <c r="B93" s="95"/>
      <c r="C93" s="95"/>
      <c r="D93" s="95"/>
      <c r="E93" s="95"/>
      <c r="F93" s="95"/>
      <c r="G93" s="95"/>
      <c r="H93" s="95"/>
      <c r="I93" s="95"/>
      <c r="J93" s="95"/>
      <c r="K93" s="95"/>
      <c r="L93" s="95"/>
      <c r="M93" s="95"/>
      <c r="N93" s="95"/>
      <c r="O93" s="95"/>
      <c r="P93" s="95"/>
      <c r="Q93" s="95"/>
      <c r="R93" s="95"/>
      <c r="S93" s="95"/>
      <c r="T93" s="95"/>
      <c r="U93" s="95"/>
      <c r="V93" s="95"/>
      <c r="W93" s="95"/>
      <c r="X93" s="95"/>
      <c r="Y93" s="95"/>
    </row>
    <row r="94" ht="15.75" customHeight="1">
      <c r="A94" s="95"/>
      <c r="B94" s="95"/>
      <c r="C94" s="95"/>
      <c r="D94" s="95"/>
      <c r="E94" s="95"/>
      <c r="F94" s="95"/>
      <c r="G94" s="95"/>
      <c r="H94" s="95"/>
      <c r="I94" s="95"/>
      <c r="J94" s="95"/>
      <c r="K94" s="95"/>
      <c r="L94" s="95"/>
      <c r="M94" s="95"/>
      <c r="N94" s="95"/>
      <c r="O94" s="95"/>
      <c r="P94" s="95"/>
      <c r="Q94" s="95"/>
      <c r="R94" s="95"/>
      <c r="S94" s="95"/>
      <c r="T94" s="95"/>
      <c r="U94" s="95"/>
      <c r="V94" s="95"/>
      <c r="W94" s="95"/>
      <c r="X94" s="95"/>
      <c r="Y94" s="95"/>
    </row>
    <row r="95" ht="15.75" customHeight="1">
      <c r="A95" s="95"/>
      <c r="B95" s="95"/>
      <c r="C95" s="95"/>
      <c r="D95" s="95"/>
      <c r="E95" s="95"/>
      <c r="F95" s="95"/>
      <c r="G95" s="95"/>
      <c r="H95" s="95"/>
      <c r="I95" s="95"/>
      <c r="J95" s="95"/>
      <c r="K95" s="95"/>
      <c r="L95" s="95"/>
      <c r="M95" s="95"/>
      <c r="N95" s="95"/>
      <c r="O95" s="95"/>
      <c r="P95" s="95"/>
      <c r="Q95" s="95"/>
      <c r="R95" s="95"/>
      <c r="S95" s="95"/>
      <c r="T95" s="95"/>
      <c r="U95" s="95"/>
      <c r="V95" s="95"/>
      <c r="W95" s="95"/>
      <c r="X95" s="95"/>
      <c r="Y95" s="95"/>
    </row>
    <row r="96" ht="15.75" customHeight="1">
      <c r="A96" s="95"/>
      <c r="B96" s="95"/>
      <c r="C96" s="95"/>
      <c r="D96" s="95"/>
      <c r="E96" s="95"/>
      <c r="F96" s="95"/>
      <c r="G96" s="95"/>
      <c r="H96" s="95"/>
      <c r="I96" s="95"/>
      <c r="J96" s="95"/>
      <c r="K96" s="95"/>
      <c r="L96" s="95"/>
      <c r="M96" s="95"/>
      <c r="N96" s="95"/>
      <c r="O96" s="95"/>
      <c r="P96" s="95"/>
      <c r="Q96" s="95"/>
      <c r="R96" s="95"/>
      <c r="S96" s="95"/>
      <c r="T96" s="95"/>
      <c r="U96" s="95"/>
      <c r="V96" s="95"/>
      <c r="W96" s="95"/>
      <c r="X96" s="95"/>
      <c r="Y96" s="95"/>
    </row>
    <row r="97" ht="15.75" customHeight="1">
      <c r="A97" s="95"/>
      <c r="B97" s="95"/>
      <c r="C97" s="95"/>
      <c r="D97" s="95"/>
      <c r="E97" s="95"/>
      <c r="F97" s="95"/>
      <c r="G97" s="95"/>
      <c r="H97" s="95"/>
      <c r="I97" s="95"/>
      <c r="J97" s="95"/>
      <c r="K97" s="95"/>
      <c r="L97" s="95"/>
      <c r="M97" s="95"/>
      <c r="N97" s="95"/>
      <c r="O97" s="95"/>
      <c r="P97" s="95"/>
      <c r="Q97" s="95"/>
      <c r="R97" s="95"/>
      <c r="S97" s="95"/>
      <c r="T97" s="95"/>
      <c r="U97" s="95"/>
      <c r="V97" s="95"/>
      <c r="W97" s="95"/>
      <c r="X97" s="95"/>
      <c r="Y97" s="95"/>
    </row>
    <row r="98" ht="15.75" customHeight="1">
      <c r="A98" s="95"/>
      <c r="B98" s="95"/>
      <c r="C98" s="95"/>
      <c r="D98" s="95"/>
      <c r="E98" s="95"/>
      <c r="F98" s="95"/>
      <c r="G98" s="95"/>
      <c r="H98" s="95"/>
      <c r="I98" s="95"/>
      <c r="J98" s="95"/>
      <c r="K98" s="95"/>
      <c r="L98" s="95"/>
      <c r="M98" s="95"/>
      <c r="N98" s="95"/>
      <c r="O98" s="95"/>
      <c r="P98" s="95"/>
      <c r="Q98" s="95"/>
      <c r="R98" s="95"/>
      <c r="S98" s="95"/>
      <c r="T98" s="95"/>
      <c r="U98" s="95"/>
      <c r="V98" s="95"/>
      <c r="W98" s="95"/>
      <c r="X98" s="95"/>
      <c r="Y98" s="95"/>
    </row>
    <row r="99" ht="15.75" customHeight="1">
      <c r="A99" s="95"/>
      <c r="B99" s="95"/>
      <c r="C99" s="95"/>
      <c r="D99" s="95"/>
      <c r="E99" s="95"/>
      <c r="F99" s="95"/>
      <c r="G99" s="95"/>
      <c r="H99" s="95"/>
      <c r="I99" s="95"/>
      <c r="J99" s="95"/>
      <c r="K99" s="95"/>
      <c r="L99" s="95"/>
      <c r="M99" s="95"/>
      <c r="N99" s="95"/>
      <c r="O99" s="95"/>
      <c r="P99" s="95"/>
      <c r="Q99" s="95"/>
      <c r="R99" s="95"/>
      <c r="S99" s="95"/>
      <c r="T99" s="95"/>
      <c r="U99" s="95"/>
      <c r="V99" s="95"/>
      <c r="W99" s="95"/>
      <c r="X99" s="95"/>
      <c r="Y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row>
    <row r="101" ht="15.75" customHeight="1">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row>
    <row r="102" ht="15.75" customHeight="1">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row>
    <row r="103" ht="15.75" customHeight="1">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row>
    <row r="104" ht="15.75" customHeight="1">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row>
    <row r="105" ht="15.75" customHeight="1">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Y$41">
    <sortState ref="A2:Y41">
      <sortCondition descending="1" ref="H2:H41"/>
      <sortCondition descending="1" ref="G2:G41"/>
    </sortState>
  </autoFilter>
  <conditionalFormatting sqref="K50:K57">
    <cfRule type="cellIs" dxfId="5" priority="1" operator="equal">
      <formula>"H"</formula>
    </cfRule>
  </conditionalFormatting>
  <conditionalFormatting sqref="K50:K57">
    <cfRule type="cellIs" dxfId="6" priority="2" operator="equal">
      <formula>"M"</formula>
    </cfRule>
  </conditionalFormatting>
  <conditionalFormatting sqref="K50:K57">
    <cfRule type="cellIs" dxfId="7" priority="3" operator="equal">
      <formula>"L"</formula>
    </cfRule>
  </conditionalFormatting>
  <conditionalFormatting sqref="K50:K57">
    <cfRule type="cellIs" dxfId="8" priority="4" operator="equal">
      <formula>"VH"</formula>
    </cfRule>
  </conditionalFormatting>
  <conditionalFormatting sqref="K50:K57">
    <cfRule type="cellIs" dxfId="9" priority="5" operator="equal">
      <formula>"VL"</formula>
    </cfRule>
  </conditionalFormatting>
  <conditionalFormatting sqref="K49">
    <cfRule type="cellIs" dxfId="5" priority="6" operator="equal">
      <formula>"H"</formula>
    </cfRule>
  </conditionalFormatting>
  <conditionalFormatting sqref="K49">
    <cfRule type="cellIs" dxfId="6" priority="7" operator="equal">
      <formula>"M"</formula>
    </cfRule>
  </conditionalFormatting>
  <conditionalFormatting sqref="K49">
    <cfRule type="cellIs" dxfId="7" priority="8" operator="equal">
      <formula>"L"</formula>
    </cfRule>
  </conditionalFormatting>
  <conditionalFormatting sqref="K49">
    <cfRule type="cellIs" dxfId="8" priority="9" operator="equal">
      <formula>"VH"</formula>
    </cfRule>
  </conditionalFormatting>
  <conditionalFormatting sqref="K49">
    <cfRule type="cellIs" dxfId="9" priority="10" operator="equal">
      <formula>"VL"</formula>
    </cfRule>
  </conditionalFormatting>
  <conditionalFormatting sqref="K46:K48">
    <cfRule type="cellIs" dxfId="5" priority="11" operator="equal">
      <formula>"H"</formula>
    </cfRule>
  </conditionalFormatting>
  <conditionalFormatting sqref="K46:K48">
    <cfRule type="cellIs" dxfId="6" priority="12" operator="equal">
      <formula>"M"</formula>
    </cfRule>
  </conditionalFormatting>
  <conditionalFormatting sqref="K46:K48">
    <cfRule type="cellIs" dxfId="7" priority="13" operator="equal">
      <formula>"L"</formula>
    </cfRule>
  </conditionalFormatting>
  <conditionalFormatting sqref="K46:K48">
    <cfRule type="cellIs" dxfId="8" priority="14" operator="equal">
      <formula>"VH"</formula>
    </cfRule>
  </conditionalFormatting>
  <conditionalFormatting sqref="K46:K48">
    <cfRule type="cellIs" dxfId="9" priority="15" operator="equal">
      <formula>"VL"</formula>
    </cfRule>
  </conditionalFormatting>
  <conditionalFormatting sqref="K45">
    <cfRule type="cellIs" dxfId="5" priority="16" operator="equal">
      <formula>"H"</formula>
    </cfRule>
  </conditionalFormatting>
  <conditionalFormatting sqref="K45">
    <cfRule type="cellIs" dxfId="6" priority="17" operator="equal">
      <formula>"M"</formula>
    </cfRule>
  </conditionalFormatting>
  <conditionalFormatting sqref="K45">
    <cfRule type="cellIs" dxfId="7" priority="18" operator="equal">
      <formula>"L"</formula>
    </cfRule>
  </conditionalFormatting>
  <conditionalFormatting sqref="K45">
    <cfRule type="cellIs" dxfId="8" priority="19" operator="equal">
      <formula>"VH"</formula>
    </cfRule>
  </conditionalFormatting>
  <conditionalFormatting sqref="K45">
    <cfRule type="cellIs" dxfId="9" priority="20" operator="equal">
      <formula>"VL"</formula>
    </cfRule>
  </conditionalFormatting>
  <conditionalFormatting sqref="K44">
    <cfRule type="cellIs" dxfId="5" priority="21" operator="equal">
      <formula>"H"</formula>
    </cfRule>
  </conditionalFormatting>
  <conditionalFormatting sqref="K44">
    <cfRule type="cellIs" dxfId="6" priority="22" operator="equal">
      <formula>"M"</formula>
    </cfRule>
  </conditionalFormatting>
  <conditionalFormatting sqref="K44">
    <cfRule type="cellIs" dxfId="7" priority="23" operator="equal">
      <formula>"L"</formula>
    </cfRule>
  </conditionalFormatting>
  <conditionalFormatting sqref="K44">
    <cfRule type="cellIs" dxfId="8" priority="24" operator="equal">
      <formula>"VH"</formula>
    </cfRule>
  </conditionalFormatting>
  <conditionalFormatting sqref="K44">
    <cfRule type="cellIs" dxfId="9" priority="25" operator="equal">
      <formula>"VL"</formula>
    </cfRule>
  </conditionalFormatting>
  <hyperlinks>
    <hyperlink r:id="rId1" ref="B5"/>
    <hyperlink r:id="rId2" ref="D8"/>
    <hyperlink r:id="rId3" ref="D17"/>
    <hyperlink r:id="rId4" ref="B23"/>
    <hyperlink r:id="rId5" ref="B29"/>
    <hyperlink r:id="rId6" ref="D29"/>
    <hyperlink r:id="rId7" ref="D30"/>
    <hyperlink r:id="rId8" ref="D32"/>
    <hyperlink r:id="rId9" ref="D33"/>
    <hyperlink r:id="rId10" ref="C36"/>
    <hyperlink r:id="rId11" ref="C39"/>
    <hyperlink r:id="rId12" ref="E45"/>
    <hyperlink r:id="rId13" location="gid=592304673&amp;range=B1" ref="F47"/>
    <hyperlink r:id="rId14" ref="G47"/>
    <hyperlink r:id="rId15" location="gid=132496499&amp;range=A1" ref="F49"/>
    <hyperlink r:id="rId16" location="gid=2081971423&amp;range=B1" ref="F50"/>
    <hyperlink r:id="rId17" ref="G50"/>
    <hyperlink r:id="rId18" location="gid=1679836541&amp;range=AE16" ref="F51"/>
  </hyperlinks>
  <drawing r:id="rId19"/>
  <tableParts count="1">
    <tablePart r:id="rId2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2"/>
  <cols>
    <col customWidth="1" min="1" max="1" width="5.71"/>
    <col customWidth="1" min="2" max="5" width="14.43"/>
    <col customWidth="1" min="6" max="6" width="33.29"/>
    <col customWidth="1" min="7" max="7" width="36.71"/>
    <col customWidth="1" min="8" max="8" width="14.29"/>
    <col customWidth="1" min="10" max="10" width="15.86"/>
    <col customWidth="1" min="11" max="18" width="7.0"/>
    <col customWidth="1" min="19" max="19" width="9.57"/>
  </cols>
  <sheetData>
    <row r="1" ht="15.75" customHeight="1">
      <c r="A1" s="121" t="s">
        <v>1028</v>
      </c>
      <c r="C1" s="112"/>
      <c r="D1" s="122"/>
      <c r="E1" s="122"/>
      <c r="F1" s="112"/>
      <c r="G1" s="112"/>
      <c r="H1" s="112"/>
      <c r="I1" s="112"/>
      <c r="J1" s="112"/>
      <c r="K1" s="112"/>
      <c r="L1" s="112"/>
      <c r="M1" s="112"/>
      <c r="N1" s="114"/>
      <c r="O1" s="115"/>
      <c r="P1" s="115"/>
      <c r="Q1" s="95"/>
      <c r="R1" s="95"/>
      <c r="S1" s="95"/>
      <c r="T1" s="95"/>
      <c r="U1" s="95"/>
      <c r="V1" s="95"/>
      <c r="W1" s="95"/>
      <c r="X1" s="95"/>
      <c r="Y1" s="95"/>
    </row>
    <row r="2" ht="15.75" customHeight="1">
      <c r="A2" s="126" t="s">
        <v>1032</v>
      </c>
      <c r="B2" s="116" t="s">
        <v>1015</v>
      </c>
      <c r="C2" s="117" t="s">
        <v>1017</v>
      </c>
      <c r="D2" s="127" t="s">
        <v>1033</v>
      </c>
      <c r="E2" s="128" t="s">
        <v>1034</v>
      </c>
      <c r="F2" s="117" t="s">
        <v>2</v>
      </c>
      <c r="G2" s="117" t="s">
        <v>1020</v>
      </c>
      <c r="H2" s="117" t="s">
        <v>1021</v>
      </c>
      <c r="I2" s="128" t="s">
        <v>1</v>
      </c>
      <c r="J2" s="128" t="s">
        <v>1036</v>
      </c>
      <c r="K2" s="128" t="s">
        <v>449</v>
      </c>
      <c r="L2" s="128" t="s">
        <v>1037</v>
      </c>
      <c r="M2" s="129" t="s">
        <v>21</v>
      </c>
      <c r="N2" s="126" t="s">
        <v>1039</v>
      </c>
      <c r="O2" s="126" t="s">
        <v>1040</v>
      </c>
      <c r="P2" s="126" t="s">
        <v>1042</v>
      </c>
      <c r="Q2" s="126" t="s">
        <v>1043</v>
      </c>
      <c r="R2" s="126" t="s">
        <v>1044</v>
      </c>
      <c r="S2" s="126" t="s">
        <v>1045</v>
      </c>
      <c r="T2" s="116"/>
      <c r="U2" s="116"/>
      <c r="V2" s="116"/>
      <c r="W2" s="116"/>
      <c r="X2" s="116"/>
      <c r="Y2" s="116"/>
    </row>
    <row r="3" ht="15.75" customHeight="1">
      <c r="A3" s="130">
        <v>1.0</v>
      </c>
      <c r="B3" s="130" t="s">
        <v>27</v>
      </c>
      <c r="C3" s="130" t="s">
        <v>1046</v>
      </c>
      <c r="D3" s="131">
        <v>44150.0</v>
      </c>
      <c r="E3" s="131"/>
      <c r="F3" s="132" t="s">
        <v>1047</v>
      </c>
      <c r="G3" s="132" t="s">
        <v>1049</v>
      </c>
      <c r="H3" s="125"/>
      <c r="I3" s="132" t="s">
        <v>1042</v>
      </c>
      <c r="J3" s="132" t="s">
        <v>1051</v>
      </c>
      <c r="K3" s="125"/>
      <c r="L3" s="132" t="s">
        <v>830</v>
      </c>
      <c r="M3" s="132" t="s">
        <v>1052</v>
      </c>
      <c r="N3" s="133"/>
      <c r="O3" s="132" t="s">
        <v>1054</v>
      </c>
      <c r="P3" s="132" t="s">
        <v>596</v>
      </c>
      <c r="Q3" s="125"/>
      <c r="R3" s="132" t="s">
        <v>1056</v>
      </c>
      <c r="S3" s="125"/>
      <c r="T3" s="125"/>
      <c r="U3" s="125"/>
      <c r="V3" s="125"/>
      <c r="W3" s="125"/>
      <c r="X3" s="125"/>
      <c r="Y3" s="125"/>
    </row>
    <row r="4" ht="15.75" customHeight="1">
      <c r="A4" s="123">
        <v>3.0</v>
      </c>
      <c r="B4" s="130" t="s">
        <v>596</v>
      </c>
      <c r="C4" s="130" t="s">
        <v>1057</v>
      </c>
      <c r="D4" s="131">
        <v>44150.0</v>
      </c>
      <c r="E4" s="131"/>
      <c r="F4" s="132" t="s">
        <v>1058</v>
      </c>
      <c r="G4" s="132" t="s">
        <v>1059</v>
      </c>
      <c r="H4" s="125"/>
      <c r="I4" s="132" t="s">
        <v>1044</v>
      </c>
      <c r="J4" s="132" t="s">
        <v>1051</v>
      </c>
      <c r="K4" s="125"/>
      <c r="L4" s="132" t="s">
        <v>830</v>
      </c>
      <c r="M4" s="125"/>
      <c r="N4" s="133"/>
      <c r="O4" s="125"/>
      <c r="P4" s="132" t="s">
        <v>1062</v>
      </c>
      <c r="Q4" s="125"/>
      <c r="R4" s="132" t="s">
        <v>1063</v>
      </c>
      <c r="S4" s="125"/>
      <c r="T4" s="125"/>
      <c r="U4" s="125"/>
      <c r="V4" s="125"/>
      <c r="W4" s="125"/>
      <c r="X4" s="125"/>
      <c r="Y4" s="125"/>
    </row>
    <row r="5" ht="15.75" customHeight="1">
      <c r="A5" s="123">
        <v>5.0</v>
      </c>
      <c r="B5" s="130" t="s">
        <v>596</v>
      </c>
      <c r="C5" s="130" t="s">
        <v>1066</v>
      </c>
      <c r="D5" s="131">
        <v>44150.0</v>
      </c>
      <c r="E5" s="131"/>
      <c r="F5" s="132" t="s">
        <v>1068</v>
      </c>
      <c r="G5" s="125" t="s">
        <v>1069</v>
      </c>
      <c r="H5" s="125"/>
      <c r="I5" s="132" t="s">
        <v>449</v>
      </c>
      <c r="J5" s="132" t="s">
        <v>1051</v>
      </c>
      <c r="K5" s="132" t="s">
        <v>1063</v>
      </c>
      <c r="L5" s="125"/>
      <c r="M5" s="125"/>
      <c r="N5" s="133"/>
      <c r="O5" s="125"/>
      <c r="P5" s="125"/>
      <c r="Q5" s="125"/>
      <c r="R5" s="132"/>
      <c r="S5" s="125"/>
      <c r="T5" s="125"/>
      <c r="U5" s="125"/>
      <c r="V5" s="125"/>
      <c r="W5" s="125"/>
      <c r="X5" s="125"/>
      <c r="Y5" s="125"/>
    </row>
    <row r="6" ht="15.75" customHeight="1">
      <c r="A6" s="123">
        <v>6.0</v>
      </c>
      <c r="B6" s="130" t="s">
        <v>1071</v>
      </c>
      <c r="C6" s="130" t="s">
        <v>1072</v>
      </c>
      <c r="D6" s="131">
        <v>44150.0</v>
      </c>
      <c r="E6" s="131"/>
      <c r="F6" s="132" t="s">
        <v>1073</v>
      </c>
      <c r="G6" s="125"/>
      <c r="H6" s="125"/>
      <c r="I6" s="132" t="s">
        <v>449</v>
      </c>
      <c r="J6" s="132" t="s">
        <v>1074</v>
      </c>
      <c r="K6" s="132" t="s">
        <v>1075</v>
      </c>
      <c r="L6" s="125"/>
      <c r="M6" s="125"/>
      <c r="N6" s="133"/>
      <c r="O6" s="125"/>
      <c r="P6" s="125"/>
      <c r="Q6" s="125"/>
      <c r="R6" s="132" t="s">
        <v>1056</v>
      </c>
      <c r="S6" s="125"/>
      <c r="T6" s="125"/>
      <c r="U6" s="125"/>
      <c r="V6" s="125"/>
      <c r="W6" s="125"/>
      <c r="X6" s="125"/>
      <c r="Y6" s="125"/>
    </row>
    <row r="7" ht="15.75" hidden="1" customHeight="1">
      <c r="A7" s="123">
        <v>7.0</v>
      </c>
      <c r="B7" s="130" t="s">
        <v>1079</v>
      </c>
      <c r="C7" s="130" t="s">
        <v>1080</v>
      </c>
      <c r="D7" s="131">
        <v>44150.0</v>
      </c>
      <c r="E7" s="131"/>
      <c r="F7" s="132" t="s">
        <v>1082</v>
      </c>
      <c r="G7" s="132"/>
      <c r="H7" s="125"/>
      <c r="I7" s="132" t="s">
        <v>21</v>
      </c>
      <c r="J7" s="132" t="s">
        <v>1083</v>
      </c>
      <c r="K7" s="132"/>
      <c r="L7" s="125"/>
      <c r="M7" s="132" t="s">
        <v>1084</v>
      </c>
      <c r="N7" s="133"/>
      <c r="O7" s="132"/>
      <c r="P7" s="125"/>
      <c r="Q7" s="125"/>
      <c r="R7" s="132" t="s">
        <v>1086</v>
      </c>
      <c r="S7" s="132" t="s">
        <v>1087</v>
      </c>
      <c r="T7" s="125"/>
      <c r="U7" s="125"/>
      <c r="V7" s="125"/>
      <c r="W7" s="125"/>
      <c r="X7" s="125"/>
      <c r="Y7" s="125"/>
    </row>
    <row r="8" ht="15.75" customHeight="1">
      <c r="A8" s="123">
        <v>10.0</v>
      </c>
      <c r="B8" s="130" t="s">
        <v>1088</v>
      </c>
      <c r="C8" s="130" t="s">
        <v>1089</v>
      </c>
      <c r="D8" s="131">
        <v>44150.0</v>
      </c>
      <c r="E8" s="131"/>
      <c r="F8" s="132" t="s">
        <v>1092</v>
      </c>
      <c r="G8" s="132"/>
      <c r="H8" s="125"/>
      <c r="I8" s="132" t="s">
        <v>21</v>
      </c>
      <c r="J8" s="132" t="s">
        <v>1051</v>
      </c>
      <c r="K8" s="132"/>
      <c r="L8" s="132"/>
      <c r="M8" s="132" t="s">
        <v>1093</v>
      </c>
      <c r="N8" s="133"/>
      <c r="O8" s="132"/>
      <c r="P8" s="125"/>
      <c r="Q8" s="125"/>
      <c r="R8" s="132" t="s">
        <v>1088</v>
      </c>
      <c r="S8" s="125"/>
      <c r="T8" s="125"/>
      <c r="U8" s="125"/>
      <c r="V8" s="125"/>
      <c r="W8" s="125"/>
      <c r="X8" s="125"/>
      <c r="Y8" s="125"/>
    </row>
    <row r="9" ht="15.75" hidden="1" customHeight="1">
      <c r="A9" s="123">
        <v>12.0</v>
      </c>
      <c r="B9" s="130" t="s">
        <v>27</v>
      </c>
      <c r="C9" s="130" t="s">
        <v>1096</v>
      </c>
      <c r="D9" s="131">
        <v>44150.0</v>
      </c>
      <c r="E9" s="131"/>
      <c r="F9" s="132" t="s">
        <v>1097</v>
      </c>
      <c r="G9" s="125"/>
      <c r="H9" s="125"/>
      <c r="I9" s="132" t="s">
        <v>1040</v>
      </c>
      <c r="J9" s="132" t="s">
        <v>1083</v>
      </c>
      <c r="K9" s="132" t="s">
        <v>1098</v>
      </c>
      <c r="L9" s="125"/>
      <c r="M9" s="125"/>
      <c r="N9" s="133"/>
      <c r="O9" s="132" t="s">
        <v>1100</v>
      </c>
      <c r="P9" s="125"/>
      <c r="Q9" s="125"/>
      <c r="R9" s="125"/>
      <c r="S9" s="132" t="s">
        <v>1087</v>
      </c>
      <c r="T9" s="125"/>
      <c r="U9" s="125"/>
      <c r="V9" s="125"/>
      <c r="W9" s="125"/>
      <c r="X9" s="125"/>
      <c r="Y9" s="125"/>
    </row>
    <row r="10" ht="15.75" hidden="1" customHeight="1">
      <c r="A10" s="123">
        <v>16.0</v>
      </c>
      <c r="B10" s="130" t="s">
        <v>596</v>
      </c>
      <c r="C10" s="130" t="s">
        <v>1101</v>
      </c>
      <c r="D10" s="131">
        <v>44150.0</v>
      </c>
      <c r="E10" s="131"/>
      <c r="F10" s="132" t="s">
        <v>1102</v>
      </c>
      <c r="G10" s="125"/>
      <c r="H10" s="125"/>
      <c r="I10" s="132" t="s">
        <v>1042</v>
      </c>
      <c r="J10" s="132" t="s">
        <v>1051</v>
      </c>
      <c r="K10" s="125"/>
      <c r="L10" s="132" t="s">
        <v>830</v>
      </c>
      <c r="M10" s="125"/>
      <c r="N10" s="133"/>
      <c r="O10" s="125"/>
      <c r="P10" s="132" t="s">
        <v>596</v>
      </c>
      <c r="Q10" s="125"/>
      <c r="R10" s="132" t="s">
        <v>1056</v>
      </c>
      <c r="S10" s="132" t="s">
        <v>1087</v>
      </c>
      <c r="T10" s="125"/>
      <c r="U10" s="125"/>
      <c r="V10" s="125"/>
      <c r="W10" s="125"/>
      <c r="X10" s="125"/>
      <c r="Y10" s="125"/>
    </row>
    <row r="11" ht="15.75" hidden="1" customHeight="1">
      <c r="A11" s="123">
        <v>18.0</v>
      </c>
      <c r="B11" s="130" t="s">
        <v>1105</v>
      </c>
      <c r="C11" s="130" t="s">
        <v>1106</v>
      </c>
      <c r="D11" s="131">
        <v>44150.0</v>
      </c>
      <c r="E11" s="131"/>
      <c r="F11" s="132" t="s">
        <v>1107</v>
      </c>
      <c r="G11" s="125"/>
      <c r="H11" s="125">
        <f>A9</f>
        <v>12</v>
      </c>
      <c r="I11" s="132" t="s">
        <v>1044</v>
      </c>
      <c r="J11" s="132" t="s">
        <v>1051</v>
      </c>
      <c r="K11" s="132" t="s">
        <v>1088</v>
      </c>
      <c r="L11" s="125"/>
      <c r="M11" s="132" t="s">
        <v>1052</v>
      </c>
      <c r="N11" s="133"/>
      <c r="O11" s="125"/>
      <c r="P11" s="125"/>
      <c r="Q11" s="125"/>
      <c r="R11" s="132" t="s">
        <v>1111</v>
      </c>
      <c r="S11" s="132" t="s">
        <v>1087</v>
      </c>
      <c r="T11" s="125"/>
      <c r="U11" s="125"/>
      <c r="V11" s="125"/>
      <c r="W11" s="125"/>
      <c r="X11" s="125"/>
      <c r="Y11" s="125"/>
    </row>
    <row r="12" ht="15.75" hidden="1" customHeight="1">
      <c r="A12" s="123">
        <v>22.0</v>
      </c>
      <c r="B12" s="130" t="s">
        <v>1088</v>
      </c>
      <c r="C12" s="130" t="s">
        <v>372</v>
      </c>
      <c r="D12" s="131">
        <v>44150.0</v>
      </c>
      <c r="E12" s="131"/>
      <c r="F12" s="132" t="s">
        <v>1112</v>
      </c>
      <c r="G12" s="132" t="s">
        <v>1113</v>
      </c>
      <c r="H12" s="125"/>
      <c r="I12" s="132" t="s">
        <v>21</v>
      </c>
      <c r="J12" s="132" t="s">
        <v>1051</v>
      </c>
      <c r="K12" s="132"/>
      <c r="L12" s="125" t="s">
        <v>830</v>
      </c>
      <c r="M12" s="132" t="s">
        <v>1114</v>
      </c>
      <c r="N12" s="133"/>
      <c r="O12" s="125"/>
      <c r="P12" s="125"/>
      <c r="Q12" s="125"/>
      <c r="R12" s="132" t="s">
        <v>596</v>
      </c>
      <c r="S12" s="132" t="s">
        <v>1087</v>
      </c>
      <c r="T12" s="125"/>
      <c r="U12" s="125"/>
      <c r="V12" s="125"/>
      <c r="W12" s="125"/>
      <c r="X12" s="125"/>
      <c r="Y12" s="125"/>
    </row>
    <row r="13" ht="15.75" hidden="1" customHeight="1">
      <c r="A13" s="123">
        <v>27.0</v>
      </c>
      <c r="B13" s="130" t="s">
        <v>1105</v>
      </c>
      <c r="C13" s="130" t="s">
        <v>1119</v>
      </c>
      <c r="D13" s="131">
        <v>44155.0</v>
      </c>
      <c r="E13" s="131"/>
      <c r="F13" s="132" t="s">
        <v>1120</v>
      </c>
      <c r="G13" s="132"/>
      <c r="H13" s="125" t="str">
        <f>A2</f>
        <v>ID</v>
      </c>
      <c r="I13" s="132" t="s">
        <v>1044</v>
      </c>
      <c r="J13" s="132" t="s">
        <v>1051</v>
      </c>
      <c r="K13" s="125" t="s">
        <v>1088</v>
      </c>
      <c r="L13" s="132"/>
      <c r="M13" s="132" t="s">
        <v>1052</v>
      </c>
      <c r="N13" s="140"/>
      <c r="O13" s="125"/>
      <c r="P13" s="132"/>
      <c r="Q13" s="125"/>
      <c r="R13" s="125" t="s">
        <v>1111</v>
      </c>
      <c r="S13" s="132" t="s">
        <v>1087</v>
      </c>
      <c r="T13" s="125"/>
      <c r="U13" s="125"/>
      <c r="V13" s="125"/>
      <c r="W13" s="125"/>
      <c r="X13" s="125"/>
      <c r="Y13" s="125"/>
    </row>
    <row r="14" ht="15.75" customHeight="1">
      <c r="A14" s="130">
        <v>2.0</v>
      </c>
      <c r="B14" s="130" t="s">
        <v>27</v>
      </c>
      <c r="C14" s="130" t="s">
        <v>1123</v>
      </c>
      <c r="D14" s="131">
        <v>44166.0</v>
      </c>
      <c r="E14" s="131"/>
      <c r="F14" s="132" t="s">
        <v>1124</v>
      </c>
      <c r="G14" s="132"/>
      <c r="H14" s="125"/>
      <c r="I14" s="132" t="s">
        <v>1040</v>
      </c>
      <c r="J14" s="132" t="s">
        <v>1051</v>
      </c>
      <c r="K14" s="125"/>
      <c r="L14" s="132" t="s">
        <v>830</v>
      </c>
      <c r="M14" s="125"/>
      <c r="N14" s="133"/>
      <c r="O14" s="132" t="s">
        <v>1100</v>
      </c>
      <c r="P14" s="132" t="s">
        <v>596</v>
      </c>
      <c r="Q14" s="125"/>
      <c r="R14" s="132"/>
      <c r="S14" s="125"/>
      <c r="T14" s="125"/>
      <c r="U14" s="125"/>
      <c r="V14" s="125"/>
      <c r="W14" s="125"/>
      <c r="X14" s="125"/>
      <c r="Y14" s="125"/>
    </row>
    <row r="15" ht="15.75" customHeight="1">
      <c r="A15" s="123">
        <v>8.0</v>
      </c>
      <c r="B15" s="130" t="s">
        <v>1126</v>
      </c>
      <c r="C15" s="130" t="s">
        <v>1127</v>
      </c>
      <c r="D15" s="131">
        <v>44166.0</v>
      </c>
      <c r="E15" s="131"/>
      <c r="F15" s="132" t="s">
        <v>1128</v>
      </c>
      <c r="G15" s="132"/>
      <c r="H15" s="125"/>
      <c r="I15" s="132" t="s">
        <v>1044</v>
      </c>
      <c r="J15" s="132" t="s">
        <v>1051</v>
      </c>
      <c r="K15" s="132" t="s">
        <v>1126</v>
      </c>
      <c r="L15" s="125"/>
      <c r="M15" s="132"/>
      <c r="N15" s="133"/>
      <c r="O15" s="132"/>
      <c r="P15" s="125"/>
      <c r="Q15" s="125"/>
      <c r="R15" s="132" t="s">
        <v>1126</v>
      </c>
      <c r="S15" s="125"/>
      <c r="T15" s="125"/>
      <c r="U15" s="125"/>
      <c r="V15" s="125"/>
      <c r="W15" s="125"/>
      <c r="X15" s="125"/>
      <c r="Y15" s="125"/>
    </row>
    <row r="16" ht="15.75" customHeight="1">
      <c r="A16" s="123">
        <v>13.0</v>
      </c>
      <c r="B16" s="130" t="s">
        <v>27</v>
      </c>
      <c r="C16" s="130" t="s">
        <v>1133</v>
      </c>
      <c r="D16" s="131">
        <v>44166.0</v>
      </c>
      <c r="E16" s="131"/>
      <c r="F16" s="132" t="s">
        <v>1134</v>
      </c>
      <c r="G16" s="132"/>
      <c r="H16" s="132"/>
      <c r="I16" s="132" t="s">
        <v>1040</v>
      </c>
      <c r="J16" s="132" t="s">
        <v>1051</v>
      </c>
      <c r="K16" s="132" t="s">
        <v>1088</v>
      </c>
      <c r="L16" s="132"/>
      <c r="M16" s="125"/>
      <c r="N16" s="133"/>
      <c r="O16" s="132" t="s">
        <v>1135</v>
      </c>
      <c r="P16" s="125"/>
      <c r="Q16" s="125"/>
      <c r="R16" s="132" t="s">
        <v>1088</v>
      </c>
      <c r="S16" s="125"/>
      <c r="T16" s="125"/>
      <c r="U16" s="125"/>
      <c r="V16" s="125"/>
      <c r="W16" s="125"/>
      <c r="X16" s="125"/>
      <c r="Y16" s="125"/>
    </row>
    <row r="17" ht="15.75" customHeight="1">
      <c r="A17" s="123">
        <v>14.0</v>
      </c>
      <c r="B17" s="130" t="s">
        <v>27</v>
      </c>
      <c r="C17" s="130" t="s">
        <v>1137</v>
      </c>
      <c r="D17" s="131">
        <v>44166.0</v>
      </c>
      <c r="E17" s="131"/>
      <c r="F17" s="132" t="s">
        <v>1138</v>
      </c>
      <c r="G17" s="132"/>
      <c r="H17" s="132"/>
      <c r="I17" s="132" t="s">
        <v>1040</v>
      </c>
      <c r="J17" s="132" t="s">
        <v>1083</v>
      </c>
      <c r="K17" s="132" t="s">
        <v>1086</v>
      </c>
      <c r="L17" s="132"/>
      <c r="M17" s="125"/>
      <c r="N17" s="133"/>
      <c r="O17" s="132" t="s">
        <v>1135</v>
      </c>
      <c r="P17" s="125"/>
      <c r="Q17" s="125"/>
      <c r="R17" s="132"/>
      <c r="S17" s="125"/>
      <c r="T17" s="125"/>
      <c r="U17" s="125"/>
      <c r="V17" s="125"/>
      <c r="W17" s="125"/>
      <c r="X17" s="125"/>
      <c r="Y17" s="125"/>
    </row>
    <row r="18" ht="15.75" hidden="1" customHeight="1">
      <c r="A18" s="123">
        <v>19.0</v>
      </c>
      <c r="B18" s="130" t="s">
        <v>596</v>
      </c>
      <c r="C18" s="130" t="s">
        <v>1141</v>
      </c>
      <c r="D18" s="131">
        <v>44166.0</v>
      </c>
      <c r="E18" s="131"/>
      <c r="F18" s="132" t="s">
        <v>1142</v>
      </c>
      <c r="G18" s="132" t="s">
        <v>1143</v>
      </c>
      <c r="H18" s="125"/>
      <c r="I18" s="132" t="s">
        <v>1042</v>
      </c>
      <c r="J18" s="132" t="s">
        <v>1051</v>
      </c>
      <c r="K18" s="125"/>
      <c r="L18" s="132" t="s">
        <v>830</v>
      </c>
      <c r="M18" s="132" t="s">
        <v>1052</v>
      </c>
      <c r="N18" s="140" t="s">
        <v>1145</v>
      </c>
      <c r="O18" s="125"/>
      <c r="P18" s="132" t="s">
        <v>596</v>
      </c>
      <c r="Q18" s="132" t="s">
        <v>185</v>
      </c>
      <c r="R18" s="125"/>
      <c r="S18" s="132" t="s">
        <v>1087</v>
      </c>
      <c r="T18" s="125"/>
      <c r="U18" s="125"/>
      <c r="V18" s="125"/>
      <c r="W18" s="125"/>
      <c r="X18" s="125"/>
      <c r="Y18" s="125"/>
    </row>
    <row r="19" ht="15.75" customHeight="1">
      <c r="A19" s="123">
        <v>20.0</v>
      </c>
      <c r="B19" s="130" t="s">
        <v>596</v>
      </c>
      <c r="C19" s="130" t="s">
        <v>1148</v>
      </c>
      <c r="D19" s="131">
        <v>44166.0</v>
      </c>
      <c r="E19" s="131"/>
      <c r="F19" s="132" t="s">
        <v>1149</v>
      </c>
      <c r="G19" s="125" t="s">
        <v>1143</v>
      </c>
      <c r="H19" s="125">
        <f>A18</f>
        <v>19</v>
      </c>
      <c r="I19" s="132" t="s">
        <v>1042</v>
      </c>
      <c r="J19" s="132" t="s">
        <v>1051</v>
      </c>
      <c r="K19" s="132"/>
      <c r="L19" s="125" t="s">
        <v>830</v>
      </c>
      <c r="M19" s="132"/>
      <c r="N19" s="133" t="s">
        <v>1150</v>
      </c>
      <c r="O19" s="125"/>
      <c r="P19" s="125" t="s">
        <v>596</v>
      </c>
      <c r="Q19" s="125"/>
      <c r="R19" s="132"/>
      <c r="S19" s="125"/>
      <c r="T19" s="125"/>
      <c r="U19" s="125"/>
      <c r="V19" s="125"/>
      <c r="W19" s="125"/>
      <c r="X19" s="125"/>
      <c r="Y19" s="125"/>
    </row>
    <row r="20" ht="15.75" customHeight="1">
      <c r="A20" s="123">
        <v>15.0</v>
      </c>
      <c r="B20" s="130" t="s">
        <v>27</v>
      </c>
      <c r="C20" s="130" t="s">
        <v>1151</v>
      </c>
      <c r="D20" s="131">
        <v>44180.0</v>
      </c>
      <c r="E20" s="131"/>
      <c r="F20" s="132" t="s">
        <v>1153</v>
      </c>
      <c r="G20" s="132" t="s">
        <v>1154</v>
      </c>
      <c r="H20" s="132">
        <f>A3</f>
        <v>1</v>
      </c>
      <c r="I20" s="132" t="s">
        <v>1040</v>
      </c>
      <c r="J20" s="132" t="s">
        <v>1051</v>
      </c>
      <c r="K20" s="125"/>
      <c r="L20" s="132" t="s">
        <v>830</v>
      </c>
      <c r="M20" s="125"/>
      <c r="N20" s="133"/>
      <c r="O20" s="132" t="s">
        <v>1135</v>
      </c>
      <c r="P20" s="125"/>
      <c r="Q20" s="125"/>
      <c r="R20" s="132" t="s">
        <v>1157</v>
      </c>
      <c r="S20" s="125"/>
      <c r="T20" s="125"/>
      <c r="U20" s="125"/>
      <c r="V20" s="125"/>
      <c r="W20" s="125"/>
      <c r="X20" s="125"/>
      <c r="Y20" s="125"/>
    </row>
    <row r="21" ht="15.75" customHeight="1">
      <c r="A21" s="123">
        <v>17.0</v>
      </c>
      <c r="B21" s="130" t="s">
        <v>1088</v>
      </c>
      <c r="C21" s="130" t="s">
        <v>1159</v>
      </c>
      <c r="D21" s="131">
        <v>44180.0</v>
      </c>
      <c r="E21" s="131"/>
      <c r="F21" s="132" t="s">
        <v>1160</v>
      </c>
      <c r="G21" s="125" t="s">
        <v>1161</v>
      </c>
      <c r="H21" s="125"/>
      <c r="I21" s="132" t="s">
        <v>21</v>
      </c>
      <c r="J21" s="132" t="s">
        <v>1051</v>
      </c>
      <c r="K21" s="125"/>
      <c r="L21" s="132" t="s">
        <v>830</v>
      </c>
      <c r="M21" s="132" t="s">
        <v>1114</v>
      </c>
      <c r="N21" s="133"/>
      <c r="O21" s="125"/>
      <c r="P21" s="132"/>
      <c r="Q21" s="125"/>
      <c r="R21" s="132" t="s">
        <v>1056</v>
      </c>
      <c r="S21" s="125"/>
      <c r="T21" s="125"/>
      <c r="U21" s="125"/>
      <c r="V21" s="125"/>
      <c r="W21" s="125"/>
      <c r="X21" s="125"/>
      <c r="Y21" s="125"/>
    </row>
    <row r="22" ht="15.75" customHeight="1">
      <c r="A22" s="123">
        <v>21.0</v>
      </c>
      <c r="B22" s="130" t="s">
        <v>596</v>
      </c>
      <c r="C22" s="130" t="s">
        <v>1164</v>
      </c>
      <c r="D22" s="131">
        <v>44180.0</v>
      </c>
      <c r="E22" s="131"/>
      <c r="F22" s="132" t="s">
        <v>1166</v>
      </c>
      <c r="G22" s="132" t="s">
        <v>1167</v>
      </c>
      <c r="H22" s="125">
        <f>A20</f>
        <v>15</v>
      </c>
      <c r="I22" s="132" t="s">
        <v>1042</v>
      </c>
      <c r="J22" s="132" t="s">
        <v>1051</v>
      </c>
      <c r="K22" s="125"/>
      <c r="L22" s="132" t="s">
        <v>830</v>
      </c>
      <c r="M22" s="132"/>
      <c r="N22" s="140" t="s">
        <v>1150</v>
      </c>
      <c r="O22" s="125"/>
      <c r="P22" s="132" t="s">
        <v>596</v>
      </c>
      <c r="Q22" s="125"/>
      <c r="R22" s="125"/>
      <c r="S22" s="125"/>
      <c r="T22" s="125"/>
      <c r="U22" s="125"/>
      <c r="V22" s="125"/>
      <c r="W22" s="125"/>
      <c r="X22" s="125"/>
      <c r="Y22" s="125"/>
    </row>
    <row r="23" ht="15.75" customHeight="1">
      <c r="A23" s="123">
        <v>23.0</v>
      </c>
      <c r="B23" s="130" t="s">
        <v>1172</v>
      </c>
      <c r="C23" s="130" t="s">
        <v>1173</v>
      </c>
      <c r="D23" s="131">
        <v>44180.0</v>
      </c>
      <c r="E23" s="131"/>
      <c r="F23" s="132" t="s">
        <v>1174</v>
      </c>
      <c r="G23" s="132" t="s">
        <v>1175</v>
      </c>
      <c r="H23" s="125"/>
      <c r="I23" s="132" t="s">
        <v>1044</v>
      </c>
      <c r="J23" s="132" t="s">
        <v>1074</v>
      </c>
      <c r="K23" s="125"/>
      <c r="L23" s="132"/>
      <c r="M23" s="132"/>
      <c r="N23" s="140"/>
      <c r="O23" s="125"/>
      <c r="P23" s="132"/>
      <c r="Q23" s="125"/>
      <c r="R23" s="125" t="s">
        <v>1056</v>
      </c>
      <c r="S23" s="125"/>
      <c r="T23" s="125"/>
      <c r="U23" s="125"/>
      <c r="V23" s="125"/>
      <c r="W23" s="125"/>
      <c r="X23" s="125"/>
      <c r="Y23" s="125"/>
    </row>
    <row r="24" ht="15.75" customHeight="1">
      <c r="A24" s="123">
        <v>28.0</v>
      </c>
      <c r="B24" s="130" t="s">
        <v>1172</v>
      </c>
      <c r="C24" s="130" t="s">
        <v>1176</v>
      </c>
      <c r="D24" s="131">
        <v>44180.0</v>
      </c>
      <c r="E24" s="131"/>
      <c r="F24" s="132" t="s">
        <v>1177</v>
      </c>
      <c r="G24" s="125" t="s">
        <v>1178</v>
      </c>
      <c r="H24" s="125"/>
      <c r="I24" s="132" t="s">
        <v>449</v>
      </c>
      <c r="J24" s="132" t="s">
        <v>1051</v>
      </c>
      <c r="K24" s="132" t="s">
        <v>1088</v>
      </c>
      <c r="L24" s="125"/>
      <c r="M24" s="132"/>
      <c r="N24" s="133" t="s">
        <v>1150</v>
      </c>
      <c r="O24" s="125"/>
      <c r="P24" s="125" t="s">
        <v>596</v>
      </c>
      <c r="Q24" s="125"/>
      <c r="R24" s="132" t="s">
        <v>1056</v>
      </c>
      <c r="S24" s="125"/>
      <c r="T24" s="125"/>
      <c r="U24" s="125"/>
      <c r="V24" s="125"/>
      <c r="W24" s="125"/>
      <c r="X24" s="125"/>
      <c r="Y24" s="125"/>
    </row>
    <row r="25" ht="15.75" hidden="1" customHeight="1">
      <c r="A25" s="123">
        <v>44.0</v>
      </c>
      <c r="B25" s="130" t="s">
        <v>1172</v>
      </c>
      <c r="C25" s="130" t="s">
        <v>1179</v>
      </c>
      <c r="D25" s="131">
        <v>44180.0</v>
      </c>
      <c r="E25" s="131"/>
      <c r="F25" s="132" t="s">
        <v>1181</v>
      </c>
      <c r="G25" s="125"/>
      <c r="H25" s="125"/>
      <c r="I25" s="132" t="s">
        <v>1044</v>
      </c>
      <c r="J25" s="132"/>
      <c r="K25" s="132"/>
      <c r="L25" s="125"/>
      <c r="M25" s="132"/>
      <c r="N25" s="133"/>
      <c r="O25" s="125"/>
      <c r="P25" s="125"/>
      <c r="Q25" s="125"/>
      <c r="R25" s="132"/>
      <c r="S25" s="154" t="s">
        <v>1087</v>
      </c>
      <c r="T25" s="95"/>
      <c r="U25" s="95"/>
      <c r="V25" s="95"/>
      <c r="W25" s="95"/>
      <c r="X25" s="95"/>
      <c r="Y25" s="95"/>
    </row>
    <row r="26" ht="15.75" customHeight="1">
      <c r="A26" s="123">
        <v>11.0</v>
      </c>
      <c r="B26" s="130" t="s">
        <v>1186</v>
      </c>
      <c r="C26" s="130" t="s">
        <v>1187</v>
      </c>
      <c r="D26" s="131">
        <v>44197.0</v>
      </c>
      <c r="E26" s="131"/>
      <c r="F26" s="132" t="s">
        <v>1189</v>
      </c>
      <c r="G26" s="132" t="s">
        <v>1190</v>
      </c>
      <c r="H26" s="125"/>
      <c r="I26" s="132" t="s">
        <v>21</v>
      </c>
      <c r="J26" s="132" t="s">
        <v>1051</v>
      </c>
      <c r="K26" s="132"/>
      <c r="L26" s="125"/>
      <c r="M26" s="132" t="s">
        <v>1191</v>
      </c>
      <c r="N26" s="133"/>
      <c r="O26" s="132"/>
      <c r="P26" s="125"/>
      <c r="Q26" s="125"/>
      <c r="R26" s="132"/>
      <c r="S26" s="125"/>
      <c r="T26" s="125"/>
      <c r="U26" s="125"/>
      <c r="V26" s="125"/>
      <c r="W26" s="125"/>
      <c r="X26" s="125"/>
      <c r="Y26" s="125"/>
    </row>
    <row r="27" ht="15.75" customHeight="1">
      <c r="A27" s="123">
        <v>24.0</v>
      </c>
      <c r="B27" s="130" t="s">
        <v>596</v>
      </c>
      <c r="C27" s="130" t="s">
        <v>1193</v>
      </c>
      <c r="D27" s="131">
        <v>44197.0</v>
      </c>
      <c r="E27" s="131"/>
      <c r="F27" s="132" t="s">
        <v>1194</v>
      </c>
      <c r="G27" s="125" t="str">
        <f>G5</f>
        <v>Product value - M</v>
      </c>
      <c r="H27" s="125">
        <f>A6</f>
        <v>6</v>
      </c>
      <c r="I27" s="132" t="s">
        <v>1042</v>
      </c>
      <c r="J27" s="132" t="s">
        <v>1051</v>
      </c>
      <c r="K27" s="132"/>
      <c r="L27" s="125" t="s">
        <v>830</v>
      </c>
      <c r="M27" s="132"/>
      <c r="N27" s="133"/>
      <c r="O27" s="125"/>
      <c r="P27" s="125"/>
      <c r="Q27" s="125"/>
      <c r="R27" s="132" t="s">
        <v>1198</v>
      </c>
      <c r="S27" s="125"/>
      <c r="T27" s="125"/>
      <c r="U27" s="125"/>
      <c r="V27" s="125"/>
      <c r="W27" s="125"/>
      <c r="X27" s="125"/>
      <c r="Y27" s="125"/>
    </row>
    <row r="28" ht="15.75" customHeight="1">
      <c r="A28" s="123">
        <v>25.0</v>
      </c>
      <c r="B28" s="130" t="s">
        <v>596</v>
      </c>
      <c r="C28" s="130" t="s">
        <v>1200</v>
      </c>
      <c r="D28" s="131">
        <v>44197.0</v>
      </c>
      <c r="E28" s="131"/>
      <c r="F28" s="132" t="s">
        <v>1201</v>
      </c>
      <c r="G28" s="132" t="s">
        <v>1202</v>
      </c>
      <c r="H28" s="125">
        <f>A18</f>
        <v>19</v>
      </c>
      <c r="I28" s="132" t="s">
        <v>1042</v>
      </c>
      <c r="J28" s="132" t="s">
        <v>1051</v>
      </c>
      <c r="K28" s="125"/>
      <c r="L28" s="132" t="s">
        <v>830</v>
      </c>
      <c r="M28" s="132"/>
      <c r="N28" s="140" t="s">
        <v>1150</v>
      </c>
      <c r="O28" s="125"/>
      <c r="P28" s="132" t="s">
        <v>596</v>
      </c>
      <c r="Q28" s="132" t="s">
        <v>185</v>
      </c>
      <c r="R28" s="125"/>
      <c r="S28" s="125"/>
      <c r="T28" s="125"/>
      <c r="U28" s="125"/>
      <c r="V28" s="125"/>
      <c r="W28" s="125"/>
      <c r="X28" s="125"/>
      <c r="Y28" s="125"/>
    </row>
    <row r="29" ht="15.75" customHeight="1">
      <c r="A29" s="123">
        <v>29.0</v>
      </c>
      <c r="B29" s="130" t="s">
        <v>1063</v>
      </c>
      <c r="C29" s="130" t="s">
        <v>1066</v>
      </c>
      <c r="D29" s="131">
        <v>44197.0</v>
      </c>
      <c r="E29" s="131"/>
      <c r="F29" s="132" t="s">
        <v>1203</v>
      </c>
      <c r="G29" s="125" t="str">
        <f>G5</f>
        <v>Product value - M</v>
      </c>
      <c r="H29" s="125">
        <f>A24</f>
        <v>28</v>
      </c>
      <c r="I29" s="132" t="s">
        <v>449</v>
      </c>
      <c r="J29" s="132" t="s">
        <v>1051</v>
      </c>
      <c r="K29" s="125" t="s">
        <v>1088</v>
      </c>
      <c r="L29" s="132"/>
      <c r="M29" s="132"/>
      <c r="N29" s="140"/>
      <c r="O29" s="125"/>
      <c r="P29" s="132"/>
      <c r="Q29" s="125"/>
      <c r="R29" s="125" t="s">
        <v>1063</v>
      </c>
      <c r="S29" s="125"/>
      <c r="T29" s="125"/>
      <c r="U29" s="125"/>
      <c r="V29" s="125"/>
      <c r="W29" s="125"/>
      <c r="X29" s="125"/>
      <c r="Y29" s="125"/>
    </row>
    <row r="30" ht="15.75" hidden="1" customHeight="1">
      <c r="A30" s="123">
        <v>4.0</v>
      </c>
      <c r="B30" s="130" t="s">
        <v>27</v>
      </c>
      <c r="C30" s="130" t="s">
        <v>1210</v>
      </c>
      <c r="D30" s="157"/>
      <c r="E30" s="157"/>
      <c r="F30" s="132" t="s">
        <v>1211</v>
      </c>
      <c r="G30" s="125"/>
      <c r="H30" s="125"/>
      <c r="I30" s="132" t="s">
        <v>1044</v>
      </c>
      <c r="J30" s="132" t="s">
        <v>1074</v>
      </c>
      <c r="K30" s="132"/>
      <c r="L30" s="125"/>
      <c r="M30" s="125"/>
      <c r="N30" s="140" t="s">
        <v>1075</v>
      </c>
      <c r="O30" s="125"/>
      <c r="P30" s="125"/>
      <c r="Q30" s="125"/>
      <c r="R30" s="132" t="s">
        <v>1056</v>
      </c>
      <c r="S30" s="132" t="s">
        <v>1087</v>
      </c>
      <c r="T30" s="125"/>
      <c r="U30" s="125"/>
      <c r="V30" s="125"/>
      <c r="W30" s="125"/>
      <c r="X30" s="125"/>
      <c r="Y30" s="125"/>
    </row>
    <row r="31" ht="15.75" customHeight="1">
      <c r="A31" s="123">
        <v>26.0</v>
      </c>
      <c r="B31" s="130" t="s">
        <v>1126</v>
      </c>
      <c r="C31" s="130" t="s">
        <v>1214</v>
      </c>
      <c r="D31" s="157"/>
      <c r="E31" s="157"/>
      <c r="F31" s="132" t="s">
        <v>1215</v>
      </c>
      <c r="G31" s="125" t="s">
        <v>1216</v>
      </c>
      <c r="H31" s="125"/>
      <c r="I31" s="132" t="s">
        <v>1044</v>
      </c>
      <c r="J31" s="132" t="s">
        <v>1051</v>
      </c>
      <c r="K31" s="132"/>
      <c r="L31" s="125" t="s">
        <v>1126</v>
      </c>
      <c r="M31" s="132"/>
      <c r="N31" s="133"/>
      <c r="O31" s="125"/>
      <c r="P31" s="125"/>
      <c r="Q31" s="125"/>
      <c r="R31" s="132" t="s">
        <v>1126</v>
      </c>
      <c r="S31" s="125"/>
      <c r="T31" s="125"/>
      <c r="U31" s="125"/>
      <c r="V31" s="125"/>
      <c r="W31" s="125"/>
      <c r="X31" s="125"/>
      <c r="Y31" s="125"/>
    </row>
    <row r="32" ht="15.75" customHeight="1">
      <c r="A32" s="123">
        <v>30.0</v>
      </c>
      <c r="B32" s="130" t="s">
        <v>596</v>
      </c>
      <c r="C32" s="130" t="s">
        <v>1221</v>
      </c>
      <c r="D32" s="157"/>
      <c r="E32" s="157"/>
      <c r="F32" s="132" t="s">
        <v>1223</v>
      </c>
      <c r="G32" s="125" t="str">
        <f>G5</f>
        <v>Product value - M</v>
      </c>
      <c r="H32" s="125"/>
      <c r="I32" s="132" t="s">
        <v>1042</v>
      </c>
      <c r="J32" s="132" t="s">
        <v>1051</v>
      </c>
      <c r="K32" s="132"/>
      <c r="L32" s="125" t="s">
        <v>830</v>
      </c>
      <c r="M32" s="132"/>
      <c r="N32" s="133" t="s">
        <v>1150</v>
      </c>
      <c r="O32" s="125"/>
      <c r="P32" s="125" t="s">
        <v>596</v>
      </c>
      <c r="Q32" s="125"/>
      <c r="R32" s="132"/>
      <c r="S32" s="95"/>
      <c r="T32" s="95"/>
      <c r="U32" s="95"/>
      <c r="V32" s="95"/>
      <c r="W32" s="95"/>
      <c r="X32" s="95"/>
      <c r="Y32" s="95"/>
    </row>
    <row r="33" ht="15.75" customHeight="1">
      <c r="A33" s="123">
        <v>31.0</v>
      </c>
      <c r="B33" s="130"/>
      <c r="C33" s="130"/>
      <c r="D33" s="157"/>
      <c r="E33" s="157"/>
      <c r="F33" s="132"/>
      <c r="G33" s="132"/>
      <c r="H33" s="125"/>
      <c r="I33" s="132"/>
      <c r="J33" s="132"/>
      <c r="K33" s="125"/>
      <c r="L33" s="132"/>
      <c r="M33" s="132"/>
      <c r="N33" s="140"/>
      <c r="O33" s="125"/>
      <c r="P33" s="132"/>
      <c r="Q33" s="125"/>
      <c r="R33" s="125"/>
      <c r="S33" s="95"/>
      <c r="T33" s="95"/>
      <c r="U33" s="95"/>
      <c r="V33" s="95"/>
      <c r="W33" s="95"/>
      <c r="X33" s="95"/>
      <c r="Y33" s="95"/>
    </row>
    <row r="34" ht="15.75" customHeight="1">
      <c r="A34" s="123">
        <v>32.0</v>
      </c>
      <c r="B34" s="130"/>
      <c r="C34" s="130"/>
      <c r="D34" s="157"/>
      <c r="E34" s="157"/>
      <c r="F34" s="132"/>
      <c r="G34" s="125"/>
      <c r="H34" s="125"/>
      <c r="I34" s="132"/>
      <c r="J34" s="132"/>
      <c r="K34" s="132"/>
      <c r="L34" s="125"/>
      <c r="M34" s="132"/>
      <c r="N34" s="133"/>
      <c r="O34" s="125"/>
      <c r="P34" s="125"/>
      <c r="Q34" s="125"/>
      <c r="R34" s="132"/>
      <c r="S34" s="95"/>
      <c r="T34" s="95"/>
      <c r="U34" s="95"/>
      <c r="V34" s="95"/>
      <c r="W34" s="95"/>
      <c r="X34" s="95"/>
      <c r="Y34" s="95"/>
    </row>
    <row r="35" ht="15.75" customHeight="1">
      <c r="A35" s="123">
        <v>33.0</v>
      </c>
      <c r="B35" s="130" t="s">
        <v>1172</v>
      </c>
      <c r="C35" s="130" t="s">
        <v>64</v>
      </c>
      <c r="D35" s="157"/>
      <c r="E35" s="157"/>
      <c r="F35" s="132"/>
      <c r="G35" s="132"/>
      <c r="H35" s="125"/>
      <c r="I35" s="132" t="s">
        <v>1044</v>
      </c>
      <c r="J35" s="132" t="s">
        <v>1051</v>
      </c>
      <c r="K35" s="125"/>
      <c r="L35" s="125" t="s">
        <v>830</v>
      </c>
      <c r="M35" s="132"/>
      <c r="N35" s="140" t="s">
        <v>1150</v>
      </c>
      <c r="O35" s="125"/>
      <c r="P35" s="132" t="s">
        <v>596</v>
      </c>
      <c r="Q35" s="132" t="s">
        <v>1235</v>
      </c>
      <c r="R35" s="132" t="s">
        <v>1172</v>
      </c>
      <c r="S35" s="95"/>
      <c r="T35" s="95"/>
      <c r="U35" s="95"/>
      <c r="V35" s="95"/>
      <c r="W35" s="95"/>
      <c r="X35" s="95"/>
      <c r="Y35" s="95"/>
    </row>
    <row r="36" ht="15.75" customHeight="1">
      <c r="A36" s="123">
        <v>34.0</v>
      </c>
      <c r="B36" s="130" t="s">
        <v>1088</v>
      </c>
      <c r="C36" s="130" t="s">
        <v>1236</v>
      </c>
      <c r="D36" s="157"/>
      <c r="E36" s="157"/>
      <c r="F36" s="132"/>
      <c r="G36" s="125"/>
      <c r="H36" s="125"/>
      <c r="I36" s="132" t="s">
        <v>1044</v>
      </c>
      <c r="J36" s="132" t="s">
        <v>1051</v>
      </c>
      <c r="K36" s="132"/>
      <c r="L36" s="125" t="s">
        <v>830</v>
      </c>
      <c r="M36" s="132" t="s">
        <v>596</v>
      </c>
      <c r="N36" s="133" t="s">
        <v>1150</v>
      </c>
      <c r="O36" s="125"/>
      <c r="P36" s="125"/>
      <c r="Q36" s="125"/>
      <c r="R36" s="132" t="s">
        <v>1063</v>
      </c>
      <c r="S36" s="95"/>
      <c r="T36" s="95"/>
      <c r="U36" s="95"/>
      <c r="V36" s="95"/>
      <c r="W36" s="95"/>
      <c r="X36" s="95"/>
      <c r="Y36" s="95"/>
    </row>
    <row r="37" ht="15.75" customHeight="1">
      <c r="A37" s="123">
        <v>35.0</v>
      </c>
      <c r="B37" s="130" t="s">
        <v>596</v>
      </c>
      <c r="C37" s="130" t="s">
        <v>126</v>
      </c>
      <c r="D37" s="157"/>
      <c r="E37" s="157"/>
      <c r="F37" s="132"/>
      <c r="G37" s="132"/>
      <c r="H37" s="125"/>
      <c r="I37" s="132" t="s">
        <v>1044</v>
      </c>
      <c r="J37" s="132" t="s">
        <v>1051</v>
      </c>
      <c r="K37" s="125"/>
      <c r="L37" s="125" t="s">
        <v>830</v>
      </c>
      <c r="M37" s="132"/>
      <c r="N37" s="133" t="s">
        <v>1150</v>
      </c>
      <c r="O37" s="125"/>
      <c r="P37" s="125" t="s">
        <v>596</v>
      </c>
      <c r="Q37" s="125"/>
      <c r="R37" s="132" t="s">
        <v>1063</v>
      </c>
      <c r="S37" s="95"/>
      <c r="T37" s="95"/>
      <c r="U37" s="95"/>
      <c r="V37" s="95"/>
      <c r="W37" s="95"/>
      <c r="X37" s="95"/>
      <c r="Y37" s="95"/>
    </row>
    <row r="38" ht="15.75" customHeight="1">
      <c r="A38" s="123">
        <v>36.0</v>
      </c>
      <c r="B38" s="130" t="s">
        <v>596</v>
      </c>
      <c r="C38" s="130" t="s">
        <v>540</v>
      </c>
      <c r="D38" s="157"/>
      <c r="E38" s="157"/>
      <c r="F38" s="132"/>
      <c r="G38" s="125"/>
      <c r="H38" s="125"/>
      <c r="I38" s="132"/>
      <c r="J38" s="132" t="s">
        <v>1051</v>
      </c>
      <c r="K38" s="132"/>
      <c r="L38" s="125" t="s">
        <v>830</v>
      </c>
      <c r="M38" s="132"/>
      <c r="N38" s="133" t="s">
        <v>1150</v>
      </c>
      <c r="O38" s="125"/>
      <c r="P38" s="125" t="s">
        <v>596</v>
      </c>
      <c r="Q38" s="125"/>
      <c r="R38" s="132"/>
      <c r="S38" s="95"/>
      <c r="T38" s="95"/>
      <c r="U38" s="95"/>
      <c r="V38" s="95"/>
      <c r="W38" s="95"/>
      <c r="X38" s="95"/>
      <c r="Y38" s="95"/>
    </row>
    <row r="39" ht="15.75" customHeight="1">
      <c r="A39" s="123">
        <v>37.0</v>
      </c>
      <c r="B39" s="130" t="s">
        <v>596</v>
      </c>
      <c r="C39" s="130" t="s">
        <v>1242</v>
      </c>
      <c r="D39" s="157"/>
      <c r="E39" s="157"/>
      <c r="F39" s="132"/>
      <c r="G39" s="132"/>
      <c r="H39" s="125"/>
      <c r="I39" s="132"/>
      <c r="J39" s="132" t="s">
        <v>1051</v>
      </c>
      <c r="K39" s="125"/>
      <c r="L39" s="125" t="s">
        <v>830</v>
      </c>
      <c r="M39" s="132" t="s">
        <v>1071</v>
      </c>
      <c r="N39" s="133" t="s">
        <v>1150</v>
      </c>
      <c r="O39" s="125"/>
      <c r="P39" s="125" t="s">
        <v>596</v>
      </c>
      <c r="Q39" s="125"/>
      <c r="R39" s="132" t="s">
        <v>1071</v>
      </c>
      <c r="S39" s="95"/>
      <c r="T39" s="95"/>
      <c r="U39" s="95"/>
      <c r="V39" s="95"/>
      <c r="W39" s="95"/>
      <c r="X39" s="95"/>
      <c r="Y39" s="95"/>
    </row>
    <row r="40" ht="15.75" customHeight="1">
      <c r="A40" s="123">
        <v>38.0</v>
      </c>
      <c r="B40" s="130" t="s">
        <v>27</v>
      </c>
      <c r="C40" s="130" t="s">
        <v>1245</v>
      </c>
      <c r="D40" s="157"/>
      <c r="E40" s="157"/>
      <c r="F40" s="132"/>
      <c r="G40" s="125"/>
      <c r="H40" s="125"/>
      <c r="I40" s="132" t="s">
        <v>1042</v>
      </c>
      <c r="J40" s="132" t="s">
        <v>1051</v>
      </c>
      <c r="K40" s="132"/>
      <c r="L40" s="125" t="s">
        <v>830</v>
      </c>
      <c r="M40" s="132"/>
      <c r="N40" s="133" t="s">
        <v>1150</v>
      </c>
      <c r="O40" s="125"/>
      <c r="P40" s="125" t="s">
        <v>596</v>
      </c>
      <c r="Q40" s="125"/>
      <c r="R40" s="132"/>
      <c r="S40" s="95"/>
      <c r="T40" s="95"/>
      <c r="U40" s="95"/>
      <c r="V40" s="95"/>
      <c r="W40" s="95"/>
      <c r="X40" s="95"/>
      <c r="Y40" s="95"/>
    </row>
    <row r="41" ht="15.75" customHeight="1">
      <c r="A41" s="123">
        <v>39.0</v>
      </c>
      <c r="B41" s="130" t="s">
        <v>596</v>
      </c>
      <c r="C41" s="130" t="s">
        <v>1249</v>
      </c>
      <c r="D41" s="157"/>
      <c r="E41" s="157"/>
      <c r="F41" s="132"/>
      <c r="G41" s="132"/>
      <c r="H41" s="125"/>
      <c r="I41" s="132" t="s">
        <v>1042</v>
      </c>
      <c r="J41" s="132" t="s">
        <v>1051</v>
      </c>
      <c r="K41" s="125"/>
      <c r="L41" s="125" t="s">
        <v>830</v>
      </c>
      <c r="M41" s="132"/>
      <c r="N41" s="133" t="s">
        <v>1150</v>
      </c>
      <c r="O41" s="125"/>
      <c r="P41" s="125" t="s">
        <v>596</v>
      </c>
      <c r="Q41" s="125"/>
      <c r="R41" s="125"/>
      <c r="S41" s="95"/>
      <c r="T41" s="95"/>
      <c r="U41" s="95"/>
      <c r="V41" s="95"/>
      <c r="W41" s="95"/>
      <c r="X41" s="95"/>
      <c r="Y41" s="95"/>
    </row>
    <row r="42" ht="15.75" customHeight="1">
      <c r="A42" s="123">
        <v>40.0</v>
      </c>
      <c r="B42" s="130" t="s">
        <v>596</v>
      </c>
      <c r="C42" s="130" t="s">
        <v>1251</v>
      </c>
      <c r="D42" s="157"/>
      <c r="E42" s="157"/>
      <c r="F42" s="132"/>
      <c r="G42" s="125"/>
      <c r="H42" s="125"/>
      <c r="I42" s="132" t="s">
        <v>1042</v>
      </c>
      <c r="J42" s="132" t="s">
        <v>1051</v>
      </c>
      <c r="K42" s="132"/>
      <c r="L42" s="125" t="s">
        <v>830</v>
      </c>
      <c r="M42" s="132"/>
      <c r="N42" s="133" t="s">
        <v>1150</v>
      </c>
      <c r="O42" s="125"/>
      <c r="P42" s="125" t="s">
        <v>596</v>
      </c>
      <c r="Q42" s="125"/>
      <c r="R42" s="132"/>
      <c r="S42" s="95"/>
      <c r="T42" s="95"/>
      <c r="U42" s="95"/>
      <c r="V42" s="95"/>
      <c r="W42" s="95"/>
      <c r="X42" s="95"/>
      <c r="Y42" s="95"/>
    </row>
    <row r="43" ht="15.75" customHeight="1">
      <c r="A43" s="123">
        <v>41.0</v>
      </c>
      <c r="B43" s="130"/>
      <c r="C43" s="130"/>
      <c r="D43" s="157"/>
      <c r="E43" s="157"/>
      <c r="F43" s="132"/>
      <c r="G43" s="132"/>
      <c r="H43" s="125"/>
      <c r="I43" s="132"/>
      <c r="J43" s="132"/>
      <c r="K43" s="125"/>
      <c r="L43" s="132"/>
      <c r="M43" s="132"/>
      <c r="N43" s="140"/>
      <c r="O43" s="125"/>
      <c r="P43" s="132"/>
      <c r="Q43" s="125"/>
      <c r="R43" s="125"/>
      <c r="S43" s="95"/>
      <c r="T43" s="95"/>
      <c r="U43" s="95"/>
      <c r="V43" s="95"/>
      <c r="W43" s="95"/>
      <c r="X43" s="95"/>
      <c r="Y43" s="95"/>
    </row>
    <row r="44" ht="15.75" customHeight="1">
      <c r="A44" s="123">
        <v>42.0</v>
      </c>
      <c r="B44" s="130"/>
      <c r="C44" s="130"/>
      <c r="D44" s="157"/>
      <c r="E44" s="157"/>
      <c r="F44" s="132"/>
      <c r="G44" s="125"/>
      <c r="H44" s="125"/>
      <c r="I44" s="132"/>
      <c r="J44" s="132"/>
      <c r="K44" s="132"/>
      <c r="L44" s="125"/>
      <c r="M44" s="132"/>
      <c r="N44" s="133"/>
      <c r="O44" s="125"/>
      <c r="P44" s="125"/>
      <c r="Q44" s="125"/>
      <c r="R44" s="132"/>
      <c r="S44" s="95"/>
      <c r="T44" s="95"/>
      <c r="U44" s="95"/>
      <c r="V44" s="95"/>
      <c r="W44" s="95"/>
      <c r="X44" s="95"/>
      <c r="Y44" s="95"/>
    </row>
    <row r="45" ht="15.75" customHeight="1">
      <c r="A45" s="123">
        <v>43.0</v>
      </c>
      <c r="B45" s="130" t="s">
        <v>596</v>
      </c>
      <c r="C45" s="130" t="s">
        <v>1256</v>
      </c>
      <c r="D45" s="157"/>
      <c r="E45" s="157"/>
      <c r="F45" s="132" t="s">
        <v>1258</v>
      </c>
      <c r="G45" s="132"/>
      <c r="H45" s="125"/>
      <c r="I45" s="132" t="s">
        <v>1044</v>
      </c>
      <c r="J45" s="132"/>
      <c r="K45" s="125"/>
      <c r="L45" s="132"/>
      <c r="M45" s="132"/>
      <c r="N45" s="140"/>
      <c r="O45" s="125"/>
      <c r="P45" s="132"/>
      <c r="Q45" s="125"/>
      <c r="R45" s="125"/>
      <c r="S45" s="95"/>
      <c r="T45" s="95"/>
      <c r="U45" s="95"/>
      <c r="V45" s="95"/>
      <c r="W45" s="95"/>
      <c r="X45" s="95"/>
      <c r="Y45" s="95"/>
    </row>
    <row r="46" ht="15.75" customHeight="1">
      <c r="A46" s="123">
        <v>45.0</v>
      </c>
      <c r="B46" s="130"/>
      <c r="C46" s="130"/>
      <c r="D46" s="157"/>
      <c r="E46" s="157"/>
      <c r="F46" s="132"/>
      <c r="G46" s="132"/>
      <c r="H46" s="125"/>
      <c r="I46" s="132"/>
      <c r="J46" s="132"/>
      <c r="K46" s="125"/>
      <c r="L46" s="132"/>
      <c r="M46" s="132"/>
      <c r="N46" s="140"/>
      <c r="O46" s="125"/>
      <c r="P46" s="132"/>
      <c r="Q46" s="125"/>
      <c r="R46" s="125"/>
      <c r="S46" s="95"/>
      <c r="T46" s="95"/>
      <c r="U46" s="95"/>
      <c r="V46" s="95"/>
      <c r="W46" s="95"/>
      <c r="X46" s="95"/>
      <c r="Y46" s="95"/>
    </row>
    <row r="47" ht="15.75" customHeight="1">
      <c r="A47" s="123">
        <v>46.0</v>
      </c>
      <c r="B47" s="130"/>
      <c r="C47" s="130"/>
      <c r="D47" s="157"/>
      <c r="E47" s="157"/>
      <c r="F47" s="132"/>
      <c r="G47" s="125"/>
      <c r="H47" s="125"/>
      <c r="I47" s="132"/>
      <c r="J47" s="132"/>
      <c r="K47" s="132"/>
      <c r="L47" s="125"/>
      <c r="M47" s="132"/>
      <c r="N47" s="133"/>
      <c r="O47" s="125"/>
      <c r="P47" s="125"/>
      <c r="Q47" s="125"/>
      <c r="R47" s="132"/>
      <c r="S47" s="95"/>
      <c r="T47" s="95"/>
      <c r="U47" s="95"/>
      <c r="V47" s="95"/>
      <c r="W47" s="95"/>
      <c r="X47" s="95"/>
      <c r="Y47" s="95"/>
    </row>
    <row r="48" ht="15.75" customHeight="1">
      <c r="A48" s="123">
        <v>47.0</v>
      </c>
      <c r="B48" s="130"/>
      <c r="C48" s="130"/>
      <c r="D48" s="157"/>
      <c r="E48" s="157"/>
      <c r="F48" s="132"/>
      <c r="G48" s="132"/>
      <c r="H48" s="125"/>
      <c r="I48" s="132"/>
      <c r="J48" s="132"/>
      <c r="K48" s="125"/>
      <c r="L48" s="132"/>
      <c r="M48" s="132"/>
      <c r="N48" s="140"/>
      <c r="O48" s="125"/>
      <c r="P48" s="132"/>
      <c r="Q48" s="125"/>
      <c r="R48" s="125"/>
      <c r="S48" s="95"/>
      <c r="T48" s="95"/>
      <c r="U48" s="95"/>
      <c r="V48" s="95"/>
      <c r="W48" s="95"/>
      <c r="X48" s="95"/>
      <c r="Y48" s="95"/>
    </row>
    <row r="49" ht="15.75" customHeight="1">
      <c r="A49" s="123">
        <v>48.0</v>
      </c>
      <c r="B49" s="130"/>
      <c r="C49" s="130"/>
      <c r="D49" s="157"/>
      <c r="E49" s="157"/>
      <c r="F49" s="132"/>
      <c r="G49" s="125"/>
      <c r="H49" s="125"/>
      <c r="I49" s="132"/>
      <c r="J49" s="132"/>
      <c r="K49" s="132"/>
      <c r="L49" s="125"/>
      <c r="M49" s="132"/>
      <c r="N49" s="133"/>
      <c r="O49" s="125"/>
      <c r="P49" s="125"/>
      <c r="Q49" s="125"/>
      <c r="R49" s="132"/>
      <c r="S49" s="95"/>
      <c r="T49" s="95"/>
      <c r="U49" s="95"/>
      <c r="V49" s="95"/>
      <c r="W49" s="95"/>
      <c r="X49" s="95"/>
      <c r="Y49" s="95"/>
    </row>
    <row r="50" ht="15.75" customHeight="1">
      <c r="A50" s="123">
        <v>49.0</v>
      </c>
      <c r="B50" s="130"/>
      <c r="C50" s="130"/>
      <c r="D50" s="157"/>
      <c r="E50" s="157"/>
      <c r="F50" s="132"/>
      <c r="G50" s="132"/>
      <c r="H50" s="125"/>
      <c r="I50" s="132"/>
      <c r="J50" s="132"/>
      <c r="K50" s="125"/>
      <c r="L50" s="132"/>
      <c r="M50" s="132"/>
      <c r="N50" s="140"/>
      <c r="O50" s="125"/>
      <c r="P50" s="132"/>
      <c r="Q50" s="125"/>
      <c r="R50" s="125"/>
      <c r="S50" s="95"/>
      <c r="T50" s="95"/>
      <c r="U50" s="95"/>
      <c r="V50" s="95"/>
      <c r="W50" s="95"/>
      <c r="X50" s="95"/>
      <c r="Y50" s="95"/>
    </row>
    <row r="51" ht="15.75" customHeight="1">
      <c r="A51" s="123">
        <v>50.0</v>
      </c>
      <c r="B51" s="130"/>
      <c r="C51" s="130"/>
      <c r="D51" s="157"/>
      <c r="E51" s="157"/>
      <c r="F51" s="132"/>
      <c r="G51" s="125"/>
      <c r="H51" s="125"/>
      <c r="I51" s="132"/>
      <c r="J51" s="132"/>
      <c r="K51" s="132"/>
      <c r="L51" s="125"/>
      <c r="M51" s="132"/>
      <c r="N51" s="133"/>
      <c r="O51" s="125"/>
      <c r="P51" s="125"/>
      <c r="Q51" s="125"/>
      <c r="R51" s="132"/>
      <c r="S51" s="95"/>
      <c r="T51" s="95"/>
      <c r="U51" s="95"/>
      <c r="V51" s="95"/>
      <c r="W51" s="95"/>
      <c r="X51" s="95"/>
      <c r="Y51" s="95"/>
    </row>
    <row r="52" ht="15.75" customHeight="1">
      <c r="A52" s="123">
        <v>51.0</v>
      </c>
      <c r="B52" s="130"/>
      <c r="C52" s="130"/>
      <c r="D52" s="157"/>
      <c r="E52" s="157"/>
      <c r="F52" s="132"/>
      <c r="G52" s="132"/>
      <c r="H52" s="125"/>
      <c r="I52" s="132"/>
      <c r="J52" s="132"/>
      <c r="K52" s="125"/>
      <c r="L52" s="132"/>
      <c r="M52" s="132"/>
      <c r="N52" s="140"/>
      <c r="O52" s="125"/>
      <c r="P52" s="132"/>
      <c r="Q52" s="125"/>
      <c r="R52" s="125"/>
      <c r="S52" s="95"/>
      <c r="T52" s="95"/>
      <c r="U52" s="95"/>
      <c r="V52" s="95"/>
      <c r="W52" s="95"/>
      <c r="X52" s="95"/>
      <c r="Y52" s="95"/>
    </row>
    <row r="53" ht="15.75" customHeight="1">
      <c r="A53" s="123">
        <v>52.0</v>
      </c>
      <c r="B53" s="130"/>
      <c r="C53" s="130"/>
      <c r="D53" s="157"/>
      <c r="E53" s="157"/>
      <c r="F53" s="132"/>
      <c r="G53" s="125"/>
      <c r="H53" s="125"/>
      <c r="I53" s="132"/>
      <c r="J53" s="132"/>
      <c r="K53" s="132"/>
      <c r="L53" s="125"/>
      <c r="M53" s="132"/>
      <c r="N53" s="133"/>
      <c r="O53" s="125"/>
      <c r="P53" s="125"/>
      <c r="Q53" s="125"/>
      <c r="R53" s="132"/>
      <c r="S53" s="95"/>
      <c r="T53" s="95"/>
      <c r="U53" s="95"/>
      <c r="V53" s="95"/>
      <c r="W53" s="95"/>
      <c r="X53" s="95"/>
      <c r="Y53" s="95"/>
    </row>
    <row r="54" ht="15.75" customHeight="1">
      <c r="A54" s="123">
        <v>53.0</v>
      </c>
      <c r="B54" s="130"/>
      <c r="C54" s="130"/>
      <c r="D54" s="157"/>
      <c r="E54" s="157"/>
      <c r="F54" s="132"/>
      <c r="G54" s="132"/>
      <c r="H54" s="125"/>
      <c r="I54" s="132"/>
      <c r="J54" s="132"/>
      <c r="K54" s="125"/>
      <c r="L54" s="132"/>
      <c r="M54" s="132"/>
      <c r="N54" s="140"/>
      <c r="O54" s="125"/>
      <c r="P54" s="132"/>
      <c r="Q54" s="125"/>
      <c r="R54" s="125"/>
      <c r="S54" s="95"/>
      <c r="T54" s="95"/>
      <c r="U54" s="95"/>
      <c r="V54" s="95"/>
      <c r="W54" s="95"/>
      <c r="X54" s="95"/>
      <c r="Y54" s="95"/>
    </row>
    <row r="55" ht="15.75" customHeight="1">
      <c r="A55" s="123">
        <v>54.0</v>
      </c>
      <c r="B55" s="130"/>
      <c r="C55" s="130"/>
      <c r="D55" s="157"/>
      <c r="E55" s="157"/>
      <c r="F55" s="132"/>
      <c r="G55" s="125"/>
      <c r="H55" s="125"/>
      <c r="I55" s="132"/>
      <c r="J55" s="132"/>
      <c r="K55" s="132"/>
      <c r="L55" s="125"/>
      <c r="M55" s="132"/>
      <c r="N55" s="133"/>
      <c r="O55" s="125"/>
      <c r="P55" s="125"/>
      <c r="Q55" s="125"/>
      <c r="R55" s="132"/>
      <c r="S55" s="95"/>
      <c r="T55" s="95"/>
      <c r="U55" s="95"/>
      <c r="V55" s="95"/>
      <c r="W55" s="95"/>
      <c r="X55" s="95"/>
      <c r="Y55" s="95"/>
    </row>
    <row r="56" ht="15.75" customHeight="1">
      <c r="A56" s="123">
        <v>55.0</v>
      </c>
      <c r="B56" s="130"/>
      <c r="C56" s="130"/>
      <c r="D56" s="157"/>
      <c r="E56" s="157"/>
      <c r="F56" s="132"/>
      <c r="G56" s="132"/>
      <c r="H56" s="125"/>
      <c r="I56" s="132"/>
      <c r="J56" s="132"/>
      <c r="K56" s="125"/>
      <c r="L56" s="132"/>
      <c r="M56" s="132"/>
      <c r="N56" s="140"/>
      <c r="O56" s="125"/>
      <c r="P56" s="132"/>
      <c r="Q56" s="125"/>
      <c r="R56" s="125"/>
      <c r="S56" s="95"/>
      <c r="T56" s="95"/>
      <c r="U56" s="95"/>
      <c r="V56" s="95"/>
      <c r="W56" s="95"/>
      <c r="X56" s="95"/>
      <c r="Y56" s="95"/>
    </row>
    <row r="57" ht="15.75" customHeight="1">
      <c r="A57" s="123">
        <v>56.0</v>
      </c>
      <c r="B57" s="130"/>
      <c r="C57" s="130"/>
      <c r="D57" s="157"/>
      <c r="E57" s="157"/>
      <c r="F57" s="132"/>
      <c r="G57" s="125"/>
      <c r="H57" s="125"/>
      <c r="I57" s="132"/>
      <c r="J57" s="132"/>
      <c r="K57" s="132"/>
      <c r="L57" s="125"/>
      <c r="M57" s="132"/>
      <c r="N57" s="133"/>
      <c r="O57" s="125"/>
      <c r="P57" s="125"/>
      <c r="Q57" s="125"/>
      <c r="R57" s="132"/>
      <c r="S57" s="95"/>
      <c r="T57" s="95"/>
      <c r="U57" s="95"/>
      <c r="V57" s="95"/>
      <c r="W57" s="95"/>
      <c r="X57" s="95"/>
      <c r="Y57" s="95"/>
    </row>
    <row r="58" ht="15.75" customHeight="1">
      <c r="B58" s="130"/>
      <c r="C58" s="130"/>
      <c r="D58" s="157"/>
      <c r="E58" s="157"/>
      <c r="F58" s="132"/>
      <c r="G58" s="132"/>
      <c r="H58" s="125"/>
      <c r="I58" s="132"/>
      <c r="J58" s="132"/>
      <c r="K58" s="125"/>
      <c r="L58" s="132"/>
      <c r="M58" s="132"/>
      <c r="N58" s="140"/>
      <c r="O58" s="125"/>
      <c r="P58" s="132"/>
      <c r="Q58" s="125"/>
      <c r="R58" s="125"/>
      <c r="S58" s="95"/>
      <c r="T58" s="95"/>
      <c r="U58" s="95"/>
      <c r="V58" s="95"/>
      <c r="W58" s="95"/>
      <c r="X58" s="95"/>
      <c r="Y58" s="95"/>
    </row>
    <row r="59" ht="15.75" customHeight="1">
      <c r="B59" s="130"/>
      <c r="C59" s="130"/>
      <c r="D59" s="157"/>
      <c r="E59" s="157"/>
      <c r="F59" s="132"/>
      <c r="G59" s="125"/>
      <c r="H59" s="125"/>
      <c r="I59" s="132"/>
      <c r="J59" s="132"/>
      <c r="K59" s="132"/>
      <c r="L59" s="125"/>
      <c r="M59" s="132"/>
      <c r="N59" s="133"/>
      <c r="O59" s="125"/>
      <c r="P59" s="125"/>
      <c r="Q59" s="125"/>
      <c r="R59" s="132"/>
      <c r="S59" s="95"/>
      <c r="T59" s="95"/>
      <c r="U59" s="95"/>
      <c r="V59" s="95"/>
      <c r="W59" s="95"/>
      <c r="X59" s="95"/>
      <c r="Y59" s="95"/>
    </row>
    <row r="60" ht="15.75" customHeight="1">
      <c r="B60" s="130"/>
      <c r="C60" s="130"/>
      <c r="D60" s="157"/>
      <c r="E60" s="157"/>
      <c r="F60" s="132"/>
      <c r="G60" s="132"/>
      <c r="H60" s="125"/>
      <c r="I60" s="132"/>
      <c r="K60" s="125"/>
      <c r="L60" s="132"/>
      <c r="M60" s="132"/>
      <c r="N60" s="140"/>
      <c r="O60" s="125"/>
      <c r="P60" s="132"/>
      <c r="Q60" s="125"/>
      <c r="R60" s="125"/>
      <c r="S60" s="95"/>
      <c r="T60" s="95"/>
      <c r="U60" s="95"/>
      <c r="V60" s="95"/>
      <c r="W60" s="95"/>
      <c r="X60" s="95"/>
      <c r="Y60" s="95"/>
    </row>
    <row r="61" ht="15.75" customHeight="1">
      <c r="B61" s="130"/>
      <c r="C61" s="130"/>
      <c r="D61" s="157"/>
      <c r="E61" s="157"/>
      <c r="F61" s="132"/>
      <c r="G61" s="125"/>
      <c r="H61" s="125"/>
      <c r="I61" s="132"/>
      <c r="J61" s="132"/>
      <c r="K61" s="132"/>
      <c r="L61" s="125"/>
      <c r="M61" s="132"/>
      <c r="N61" s="133"/>
      <c r="O61" s="125"/>
      <c r="P61" s="125"/>
      <c r="Q61" s="125"/>
      <c r="R61" s="132"/>
      <c r="S61" s="95"/>
      <c r="T61" s="95"/>
      <c r="U61" s="95"/>
      <c r="V61" s="95"/>
      <c r="W61" s="95"/>
      <c r="X61" s="95"/>
      <c r="Y61" s="95"/>
    </row>
    <row r="62" ht="15.75" customHeight="1">
      <c r="B62" s="130"/>
      <c r="C62" s="130"/>
      <c r="D62" s="157"/>
      <c r="E62" s="157"/>
      <c r="F62" s="132"/>
      <c r="G62" s="132"/>
      <c r="H62" s="125"/>
      <c r="I62" s="132"/>
      <c r="J62" s="132"/>
      <c r="K62" s="125"/>
      <c r="L62" s="132"/>
      <c r="M62" s="132"/>
      <c r="N62" s="140"/>
      <c r="O62" s="125"/>
      <c r="P62" s="132"/>
      <c r="Q62" s="125"/>
      <c r="R62" s="125"/>
      <c r="S62" s="95"/>
      <c r="T62" s="95"/>
      <c r="U62" s="95"/>
      <c r="V62" s="95"/>
      <c r="W62" s="95"/>
      <c r="X62" s="95"/>
      <c r="Y62" s="95"/>
    </row>
    <row r="63" ht="15.75" customHeight="1">
      <c r="B63" s="130"/>
      <c r="C63" s="130"/>
      <c r="D63" s="157"/>
      <c r="E63" s="157"/>
      <c r="F63" s="132"/>
      <c r="G63" s="125"/>
      <c r="H63" s="125"/>
      <c r="I63" s="132"/>
      <c r="J63" s="132"/>
      <c r="K63" s="132"/>
      <c r="L63" s="125"/>
      <c r="M63" s="132"/>
      <c r="N63" s="133"/>
      <c r="O63" s="125"/>
      <c r="P63" s="125"/>
      <c r="Q63" s="125"/>
      <c r="R63" s="132"/>
      <c r="S63" s="95"/>
      <c r="T63" s="95"/>
      <c r="U63" s="95"/>
      <c r="V63" s="95"/>
      <c r="W63" s="95"/>
      <c r="X63" s="95"/>
      <c r="Y63" s="95"/>
    </row>
    <row r="64" ht="15.75" customHeight="1">
      <c r="A64" s="123"/>
      <c r="B64" s="130"/>
      <c r="C64" s="130"/>
      <c r="D64" s="157"/>
      <c r="E64" s="157"/>
      <c r="F64" s="132"/>
      <c r="G64" s="132"/>
      <c r="I64" s="132"/>
      <c r="J64" s="132"/>
      <c r="K64" s="125"/>
      <c r="L64" s="132"/>
      <c r="M64" s="132"/>
      <c r="N64" s="140"/>
      <c r="O64" s="125"/>
      <c r="P64" s="132"/>
      <c r="Q64" s="125"/>
      <c r="R64" s="125"/>
      <c r="S64" s="95"/>
      <c r="T64" s="95"/>
      <c r="U64" s="95"/>
      <c r="V64" s="95"/>
      <c r="W64" s="95"/>
      <c r="X64" s="95"/>
      <c r="Y64" s="95"/>
    </row>
    <row r="65" ht="15.75" customHeight="1">
      <c r="B65" s="95"/>
      <c r="C65" s="95"/>
      <c r="D65" s="163"/>
      <c r="E65" s="163"/>
      <c r="F65" s="95"/>
      <c r="G65" s="95"/>
      <c r="H65" s="95"/>
      <c r="I65" s="95"/>
      <c r="J65" s="95"/>
      <c r="K65" s="95"/>
      <c r="L65" s="95"/>
      <c r="M65" s="95"/>
      <c r="N65" s="95"/>
      <c r="O65" s="95"/>
      <c r="P65" s="95"/>
      <c r="Q65" s="95"/>
      <c r="R65" s="95"/>
      <c r="S65" s="95"/>
      <c r="T65" s="95"/>
      <c r="U65" s="95"/>
      <c r="V65" s="95"/>
      <c r="W65" s="95"/>
      <c r="X65" s="95"/>
      <c r="Y65" s="95"/>
    </row>
    <row r="66" ht="15.75" customHeight="1">
      <c r="B66" s="95"/>
      <c r="C66" s="95"/>
      <c r="D66" s="163"/>
      <c r="E66" s="163"/>
      <c r="F66" s="95"/>
      <c r="G66" s="95"/>
      <c r="H66" s="95"/>
      <c r="I66" s="95"/>
      <c r="J66" s="95"/>
      <c r="K66" s="95"/>
      <c r="L66" s="95"/>
      <c r="M66" s="95"/>
      <c r="N66" s="95"/>
      <c r="O66" s="95"/>
      <c r="P66" s="95"/>
      <c r="Q66" s="95"/>
      <c r="R66" s="95"/>
      <c r="S66" s="95"/>
      <c r="T66" s="95"/>
      <c r="U66" s="95"/>
      <c r="V66" s="95"/>
      <c r="W66" s="95"/>
      <c r="X66" s="95"/>
      <c r="Y66" s="95"/>
    </row>
    <row r="67" ht="15.75" customHeight="1">
      <c r="B67" s="95"/>
      <c r="C67" s="95"/>
      <c r="D67" s="163"/>
      <c r="E67" s="163"/>
      <c r="F67" s="95"/>
      <c r="G67" s="95"/>
      <c r="H67" s="95"/>
      <c r="I67" s="95"/>
      <c r="J67" s="95"/>
      <c r="K67" s="95"/>
      <c r="L67" s="95"/>
      <c r="M67" s="95"/>
      <c r="N67" s="95"/>
      <c r="O67" s="95"/>
      <c r="P67" s="95"/>
      <c r="Q67" s="95"/>
      <c r="R67" s="95"/>
      <c r="S67" s="95"/>
      <c r="T67" s="95"/>
      <c r="U67" s="95"/>
      <c r="V67" s="95"/>
      <c r="W67" s="95"/>
      <c r="X67" s="95"/>
      <c r="Y67" s="95"/>
    </row>
    <row r="68" ht="15.75" customHeight="1">
      <c r="B68" s="95"/>
      <c r="C68" s="95"/>
      <c r="D68" s="163"/>
      <c r="E68" s="163"/>
      <c r="F68" s="95"/>
      <c r="G68" s="95"/>
      <c r="H68" s="95"/>
      <c r="I68" s="95"/>
      <c r="J68" s="95"/>
      <c r="K68" s="95"/>
      <c r="L68" s="95"/>
      <c r="M68" s="95"/>
      <c r="N68" s="95"/>
      <c r="O68" s="95"/>
      <c r="P68" s="95"/>
      <c r="Q68" s="95"/>
      <c r="R68" s="95"/>
      <c r="S68" s="95"/>
      <c r="T68" s="95"/>
      <c r="U68" s="95"/>
      <c r="V68" s="95"/>
      <c r="W68" s="95"/>
      <c r="X68" s="95"/>
      <c r="Y68" s="95"/>
    </row>
    <row r="69" ht="15.75" customHeight="1">
      <c r="B69" s="95"/>
      <c r="C69" s="95"/>
      <c r="D69" s="163"/>
      <c r="E69" s="163"/>
      <c r="F69" s="95"/>
      <c r="G69" s="95"/>
      <c r="H69" s="95"/>
      <c r="I69" s="95"/>
      <c r="J69" s="95"/>
      <c r="K69" s="95"/>
      <c r="L69" s="95"/>
      <c r="M69" s="95"/>
      <c r="N69" s="95"/>
      <c r="O69" s="95"/>
      <c r="P69" s="95"/>
      <c r="Q69" s="95"/>
      <c r="R69" s="95"/>
      <c r="S69" s="95"/>
      <c r="T69" s="95"/>
      <c r="U69" s="95"/>
      <c r="V69" s="95"/>
      <c r="W69" s="95"/>
      <c r="X69" s="95"/>
      <c r="Y69" s="95"/>
    </row>
    <row r="70" ht="15.75" customHeight="1">
      <c r="A70" s="95"/>
      <c r="B70" s="95"/>
      <c r="C70" s="95"/>
      <c r="D70" s="163"/>
      <c r="E70" s="163"/>
      <c r="F70" s="95"/>
      <c r="G70" s="95"/>
      <c r="H70" s="95"/>
      <c r="I70" s="95"/>
      <c r="J70" s="95"/>
      <c r="K70" s="95"/>
      <c r="L70" s="95"/>
      <c r="M70" s="95"/>
      <c r="N70" s="95"/>
      <c r="O70" s="95"/>
      <c r="P70" s="95"/>
      <c r="Q70" s="95"/>
      <c r="R70" s="95"/>
      <c r="S70" s="95"/>
      <c r="T70" s="95"/>
      <c r="U70" s="95"/>
      <c r="V70" s="95"/>
      <c r="W70" s="95"/>
      <c r="X70" s="95"/>
      <c r="Y70" s="95"/>
    </row>
    <row r="71" ht="15.75" customHeight="1">
      <c r="A71" s="95"/>
      <c r="B71" s="95"/>
      <c r="C71" s="95"/>
      <c r="D71" s="163"/>
      <c r="E71" s="163"/>
      <c r="F71" s="95"/>
      <c r="G71" s="95"/>
      <c r="H71" s="95"/>
      <c r="I71" s="95"/>
      <c r="J71" s="95"/>
      <c r="K71" s="95"/>
      <c r="L71" s="95"/>
      <c r="M71" s="95"/>
      <c r="N71" s="95"/>
      <c r="O71" s="95"/>
      <c r="P71" s="95"/>
      <c r="Q71" s="95"/>
      <c r="R71" s="95"/>
      <c r="S71" s="95"/>
      <c r="T71" s="95"/>
      <c r="U71" s="95"/>
      <c r="V71" s="95"/>
      <c r="W71" s="95"/>
      <c r="X71" s="95"/>
      <c r="Y71" s="95"/>
    </row>
    <row r="72" ht="15.75" customHeight="1">
      <c r="A72" s="95"/>
      <c r="B72" s="95"/>
      <c r="C72" s="95"/>
      <c r="D72" s="163"/>
      <c r="E72" s="163"/>
      <c r="F72" s="95"/>
      <c r="G72" s="95"/>
      <c r="H72" s="95"/>
      <c r="I72" s="95"/>
      <c r="J72" s="95"/>
      <c r="K72" s="95"/>
      <c r="L72" s="95"/>
      <c r="M72" s="95"/>
      <c r="N72" s="95"/>
      <c r="O72" s="95"/>
      <c r="P72" s="95"/>
      <c r="Q72" s="95"/>
      <c r="R72" s="95"/>
      <c r="S72" s="95"/>
      <c r="T72" s="95"/>
      <c r="U72" s="95"/>
      <c r="V72" s="95"/>
      <c r="W72" s="95"/>
      <c r="X72" s="95"/>
      <c r="Y72" s="95"/>
    </row>
    <row r="73" ht="15.75" customHeight="1">
      <c r="A73" s="95"/>
      <c r="B73" s="95"/>
      <c r="C73" s="95"/>
      <c r="D73" s="163"/>
      <c r="E73" s="163"/>
      <c r="F73" s="95"/>
      <c r="G73" s="95"/>
      <c r="H73" s="95"/>
      <c r="I73" s="95"/>
      <c r="J73" s="95"/>
      <c r="K73" s="95"/>
      <c r="L73" s="95"/>
      <c r="M73" s="95"/>
      <c r="N73" s="95"/>
      <c r="O73" s="95"/>
      <c r="P73" s="95"/>
      <c r="Q73" s="95"/>
      <c r="R73" s="95"/>
      <c r="S73" s="95"/>
      <c r="T73" s="95"/>
      <c r="U73" s="95"/>
      <c r="V73" s="95"/>
      <c r="W73" s="95"/>
      <c r="X73" s="95"/>
      <c r="Y73" s="95"/>
    </row>
    <row r="74" ht="15.75" customHeight="1">
      <c r="A74" s="95"/>
      <c r="B74" s="95"/>
      <c r="C74" s="95"/>
      <c r="D74" s="163"/>
      <c r="E74" s="163"/>
      <c r="F74" s="95"/>
      <c r="G74" s="95"/>
      <c r="H74" s="95"/>
      <c r="I74" s="95"/>
      <c r="J74" s="95"/>
      <c r="K74" s="95"/>
      <c r="L74" s="95"/>
      <c r="M74" s="95"/>
      <c r="N74" s="95"/>
      <c r="O74" s="95"/>
      <c r="P74" s="95"/>
      <c r="Q74" s="95"/>
      <c r="R74" s="95"/>
      <c r="S74" s="95"/>
      <c r="T74" s="95"/>
      <c r="U74" s="95"/>
      <c r="V74" s="95"/>
      <c r="W74" s="95"/>
      <c r="X74" s="95"/>
      <c r="Y74" s="95"/>
    </row>
    <row r="75" ht="15.75" customHeight="1">
      <c r="A75" s="95"/>
      <c r="B75" s="95"/>
      <c r="C75" s="95"/>
      <c r="D75" s="163"/>
      <c r="E75" s="163"/>
      <c r="F75" s="95"/>
      <c r="G75" s="95"/>
      <c r="H75" s="95"/>
      <c r="I75" s="95"/>
      <c r="J75" s="95"/>
      <c r="K75" s="95"/>
      <c r="L75" s="95"/>
      <c r="M75" s="95"/>
      <c r="N75" s="95"/>
      <c r="O75" s="95"/>
      <c r="P75" s="95"/>
      <c r="Q75" s="95"/>
      <c r="R75" s="95"/>
      <c r="S75" s="95"/>
      <c r="T75" s="95"/>
      <c r="U75" s="95"/>
      <c r="V75" s="95"/>
      <c r="W75" s="95"/>
      <c r="X75" s="95"/>
      <c r="Y75" s="95"/>
    </row>
    <row r="76" ht="15.75" customHeight="1">
      <c r="A76" s="95"/>
      <c r="B76" s="95"/>
      <c r="C76" s="95"/>
      <c r="D76" s="163"/>
      <c r="E76" s="163"/>
      <c r="F76" s="95"/>
      <c r="G76" s="95"/>
      <c r="H76" s="95"/>
      <c r="I76" s="95"/>
      <c r="J76" s="95"/>
      <c r="K76" s="95"/>
      <c r="L76" s="95"/>
      <c r="M76" s="95"/>
      <c r="N76" s="95"/>
      <c r="O76" s="95"/>
      <c r="P76" s="95"/>
      <c r="Q76" s="95"/>
      <c r="R76" s="95"/>
      <c r="S76" s="95"/>
      <c r="T76" s="95"/>
      <c r="U76" s="95"/>
      <c r="V76" s="95"/>
      <c r="W76" s="95"/>
      <c r="X76" s="95"/>
      <c r="Y76" s="95"/>
    </row>
    <row r="77" ht="15.75" customHeight="1">
      <c r="A77" s="95"/>
      <c r="B77" s="95"/>
      <c r="C77" s="95"/>
      <c r="D77" s="163"/>
      <c r="E77" s="163"/>
      <c r="F77" s="95"/>
      <c r="G77" s="95"/>
      <c r="H77" s="95"/>
      <c r="I77" s="95"/>
      <c r="J77" s="95"/>
      <c r="K77" s="95"/>
      <c r="L77" s="95"/>
      <c r="M77" s="95"/>
      <c r="N77" s="95"/>
      <c r="O77" s="95"/>
      <c r="P77" s="95"/>
      <c r="Q77" s="95"/>
      <c r="R77" s="95"/>
      <c r="S77" s="95"/>
      <c r="T77" s="95"/>
      <c r="U77" s="95"/>
      <c r="V77" s="95"/>
      <c r="W77" s="95"/>
      <c r="X77" s="95"/>
      <c r="Y77" s="95"/>
    </row>
    <row r="78" ht="15.75" customHeight="1">
      <c r="A78" s="95"/>
      <c r="B78" s="95"/>
      <c r="C78" s="95"/>
      <c r="D78" s="163"/>
      <c r="E78" s="163"/>
      <c r="F78" s="95"/>
      <c r="G78" s="95"/>
      <c r="H78" s="95"/>
      <c r="I78" s="95"/>
      <c r="J78" s="95"/>
      <c r="K78" s="95"/>
      <c r="L78" s="95"/>
      <c r="M78" s="95"/>
      <c r="N78" s="95"/>
      <c r="O78" s="95"/>
      <c r="P78" s="95"/>
      <c r="Q78" s="95"/>
      <c r="R78" s="95"/>
      <c r="S78" s="95"/>
      <c r="T78" s="95"/>
      <c r="U78" s="95"/>
      <c r="V78" s="95"/>
      <c r="W78" s="95"/>
      <c r="X78" s="95"/>
      <c r="Y78" s="95"/>
    </row>
    <row r="79" ht="15.75" customHeight="1">
      <c r="A79" s="95"/>
      <c r="B79" s="95"/>
      <c r="C79" s="95"/>
      <c r="D79" s="163"/>
      <c r="E79" s="163"/>
      <c r="F79" s="95"/>
      <c r="G79" s="95"/>
      <c r="H79" s="95"/>
      <c r="I79" s="95"/>
      <c r="J79" s="95"/>
      <c r="K79" s="95"/>
      <c r="L79" s="95"/>
      <c r="M79" s="95"/>
      <c r="N79" s="95"/>
      <c r="O79" s="95"/>
      <c r="P79" s="95"/>
      <c r="Q79" s="95"/>
      <c r="R79" s="95"/>
      <c r="S79" s="95"/>
      <c r="T79" s="95"/>
      <c r="U79" s="95"/>
      <c r="V79" s="95"/>
      <c r="W79" s="95"/>
      <c r="X79" s="95"/>
      <c r="Y79" s="95"/>
    </row>
    <row r="80" ht="15.75" customHeight="1">
      <c r="A80" s="95"/>
      <c r="B80" s="95"/>
      <c r="C80" s="95"/>
      <c r="D80" s="163"/>
      <c r="E80" s="163"/>
      <c r="F80" s="95"/>
      <c r="G80" s="95"/>
      <c r="H80" s="95"/>
      <c r="I80" s="95"/>
      <c r="J80" s="95"/>
      <c r="K80" s="95"/>
      <c r="L80" s="95"/>
      <c r="M80" s="95"/>
      <c r="N80" s="95"/>
      <c r="O80" s="95"/>
      <c r="P80" s="95"/>
      <c r="Q80" s="95"/>
      <c r="R80" s="95"/>
      <c r="S80" s="95"/>
      <c r="T80" s="95"/>
      <c r="U80" s="95"/>
      <c r="V80" s="95"/>
      <c r="W80" s="95"/>
      <c r="X80" s="95"/>
      <c r="Y80" s="95"/>
    </row>
    <row r="81" ht="15.75" customHeight="1">
      <c r="A81" s="95"/>
      <c r="B81" s="95"/>
      <c r="C81" s="95"/>
      <c r="D81" s="163"/>
      <c r="E81" s="163"/>
      <c r="F81" s="95"/>
      <c r="G81" s="95"/>
      <c r="H81" s="95"/>
      <c r="I81" s="95"/>
      <c r="J81" s="95"/>
      <c r="K81" s="95"/>
      <c r="L81" s="95"/>
      <c r="M81" s="95"/>
      <c r="N81" s="95"/>
      <c r="O81" s="95"/>
      <c r="P81" s="95"/>
      <c r="Q81" s="95"/>
      <c r="R81" s="95"/>
      <c r="S81" s="95"/>
      <c r="T81" s="95"/>
      <c r="U81" s="95"/>
      <c r="V81" s="95"/>
      <c r="W81" s="95"/>
      <c r="X81" s="95"/>
      <c r="Y81" s="95"/>
    </row>
    <row r="82" ht="15.75" customHeight="1">
      <c r="A82" s="95"/>
      <c r="B82" s="95"/>
      <c r="C82" s="95"/>
      <c r="D82" s="163"/>
      <c r="E82" s="163"/>
      <c r="F82" s="95"/>
      <c r="G82" s="95"/>
      <c r="H82" s="95"/>
      <c r="I82" s="95"/>
      <c r="J82" s="95"/>
      <c r="K82" s="95"/>
      <c r="L82" s="95"/>
      <c r="M82" s="95"/>
      <c r="N82" s="95"/>
      <c r="O82" s="95"/>
      <c r="P82" s="95"/>
      <c r="Q82" s="95"/>
      <c r="R82" s="95"/>
      <c r="S82" s="95"/>
      <c r="T82" s="95"/>
      <c r="U82" s="95"/>
      <c r="V82" s="95"/>
      <c r="W82" s="95"/>
      <c r="X82" s="95"/>
      <c r="Y82" s="95"/>
    </row>
    <row r="83" ht="15.75" customHeight="1">
      <c r="A83" s="95"/>
      <c r="B83" s="95"/>
      <c r="C83" s="95"/>
      <c r="D83" s="163"/>
      <c r="E83" s="163"/>
      <c r="F83" s="95"/>
      <c r="G83" s="95"/>
      <c r="H83" s="95"/>
      <c r="I83" s="95"/>
      <c r="J83" s="95"/>
      <c r="K83" s="95"/>
      <c r="L83" s="95"/>
      <c r="M83" s="95"/>
      <c r="N83" s="95"/>
      <c r="O83" s="95"/>
      <c r="P83" s="95"/>
      <c r="Q83" s="95"/>
      <c r="R83" s="95"/>
      <c r="S83" s="95"/>
      <c r="T83" s="95"/>
      <c r="U83" s="95"/>
      <c r="V83" s="95"/>
      <c r="W83" s="95"/>
      <c r="X83" s="95"/>
      <c r="Y83" s="95"/>
    </row>
    <row r="84" ht="15.75" customHeight="1">
      <c r="A84" s="95"/>
      <c r="B84" s="95"/>
      <c r="C84" s="95"/>
      <c r="D84" s="163"/>
      <c r="E84" s="163"/>
      <c r="F84" s="95"/>
      <c r="G84" s="95"/>
      <c r="H84" s="95"/>
      <c r="I84" s="95"/>
      <c r="J84" s="95"/>
      <c r="K84" s="95"/>
      <c r="L84" s="95"/>
      <c r="M84" s="95"/>
      <c r="N84" s="95"/>
      <c r="O84" s="95"/>
      <c r="P84" s="95"/>
      <c r="Q84" s="95"/>
      <c r="R84" s="95"/>
      <c r="S84" s="95"/>
      <c r="T84" s="95"/>
      <c r="U84" s="95"/>
      <c r="V84" s="95"/>
      <c r="W84" s="95"/>
      <c r="X84" s="95"/>
      <c r="Y84" s="95"/>
    </row>
    <row r="85" ht="15.75" customHeight="1">
      <c r="A85" s="95"/>
      <c r="B85" s="95"/>
      <c r="C85" s="95"/>
      <c r="D85" s="163"/>
      <c r="E85" s="163"/>
      <c r="F85" s="95"/>
      <c r="G85" s="95"/>
      <c r="H85" s="95"/>
      <c r="I85" s="95"/>
      <c r="J85" s="95"/>
      <c r="K85" s="95"/>
      <c r="L85" s="95"/>
      <c r="M85" s="95"/>
      <c r="N85" s="95"/>
      <c r="O85" s="95"/>
      <c r="P85" s="95"/>
      <c r="Q85" s="95"/>
      <c r="R85" s="95"/>
      <c r="S85" s="95"/>
      <c r="T85" s="95"/>
      <c r="U85" s="95"/>
      <c r="V85" s="95"/>
      <c r="W85" s="95"/>
      <c r="X85" s="95"/>
      <c r="Y85" s="95"/>
    </row>
    <row r="86" ht="15.75" customHeight="1">
      <c r="A86" s="95"/>
      <c r="B86" s="95"/>
      <c r="C86" s="95"/>
      <c r="D86" s="163"/>
      <c r="E86" s="163"/>
      <c r="F86" s="95"/>
      <c r="G86" s="95"/>
      <c r="H86" s="95"/>
      <c r="I86" s="95"/>
      <c r="J86" s="95"/>
      <c r="K86" s="95"/>
      <c r="L86" s="95"/>
      <c r="M86" s="95"/>
      <c r="N86" s="95"/>
      <c r="O86" s="95"/>
      <c r="P86" s="95"/>
      <c r="Q86" s="95"/>
      <c r="R86" s="95"/>
      <c r="S86" s="95"/>
      <c r="T86" s="95"/>
      <c r="U86" s="95"/>
      <c r="V86" s="95"/>
      <c r="W86" s="95"/>
      <c r="X86" s="95"/>
      <c r="Y86" s="95"/>
    </row>
    <row r="87" ht="15.75" customHeight="1">
      <c r="A87" s="95"/>
      <c r="B87" s="95"/>
      <c r="C87" s="95"/>
      <c r="D87" s="163"/>
      <c r="E87" s="163"/>
      <c r="F87" s="95"/>
      <c r="G87" s="95"/>
      <c r="H87" s="95"/>
      <c r="I87" s="95"/>
      <c r="J87" s="95"/>
      <c r="K87" s="95"/>
      <c r="L87" s="95"/>
      <c r="M87" s="95"/>
      <c r="N87" s="95"/>
      <c r="O87" s="95"/>
      <c r="P87" s="95"/>
      <c r="Q87" s="95"/>
      <c r="R87" s="95"/>
      <c r="S87" s="95"/>
      <c r="T87" s="95"/>
      <c r="U87" s="95"/>
      <c r="V87" s="95"/>
      <c r="W87" s="95"/>
      <c r="X87" s="95"/>
      <c r="Y87" s="95"/>
    </row>
    <row r="88" ht="15.75" customHeight="1">
      <c r="A88" s="95"/>
      <c r="B88" s="95"/>
      <c r="C88" s="95"/>
      <c r="D88" s="163"/>
      <c r="E88" s="163"/>
      <c r="F88" s="95"/>
      <c r="G88" s="95"/>
      <c r="H88" s="95"/>
      <c r="I88" s="95"/>
      <c r="J88" s="95"/>
      <c r="K88" s="95"/>
      <c r="L88" s="95"/>
      <c r="M88" s="95"/>
      <c r="N88" s="95"/>
      <c r="O88" s="95"/>
      <c r="P88" s="95"/>
      <c r="Q88" s="95"/>
      <c r="R88" s="95"/>
      <c r="S88" s="95"/>
      <c r="T88" s="95"/>
      <c r="U88" s="95"/>
      <c r="V88" s="95"/>
      <c r="W88" s="95"/>
      <c r="X88" s="95"/>
      <c r="Y88" s="95"/>
    </row>
    <row r="89" ht="15.75" customHeight="1">
      <c r="A89" s="95"/>
      <c r="B89" s="95"/>
      <c r="C89" s="95"/>
      <c r="D89" s="163"/>
      <c r="E89" s="163"/>
      <c r="F89" s="95"/>
      <c r="G89" s="95"/>
      <c r="H89" s="95"/>
      <c r="I89" s="95"/>
      <c r="J89" s="95"/>
      <c r="K89" s="95"/>
      <c r="L89" s="95"/>
      <c r="M89" s="95"/>
      <c r="N89" s="95"/>
      <c r="O89" s="95"/>
      <c r="P89" s="95"/>
      <c r="Q89" s="95"/>
      <c r="R89" s="95"/>
      <c r="S89" s="95"/>
      <c r="T89" s="95"/>
      <c r="U89" s="95"/>
      <c r="V89" s="95"/>
      <c r="W89" s="95"/>
      <c r="X89" s="95"/>
      <c r="Y89" s="95"/>
    </row>
    <row r="90" ht="15.75" customHeight="1">
      <c r="A90" s="95"/>
      <c r="B90" s="95"/>
      <c r="C90" s="95"/>
      <c r="D90" s="163"/>
      <c r="E90" s="163"/>
      <c r="F90" s="95"/>
      <c r="G90" s="95"/>
      <c r="H90" s="95"/>
      <c r="I90" s="95"/>
      <c r="J90" s="95"/>
      <c r="K90" s="95"/>
      <c r="L90" s="95"/>
      <c r="M90" s="95"/>
      <c r="N90" s="95"/>
      <c r="O90" s="95"/>
      <c r="P90" s="95"/>
      <c r="Q90" s="95"/>
      <c r="R90" s="95"/>
      <c r="S90" s="95"/>
      <c r="T90" s="95"/>
      <c r="U90" s="95"/>
      <c r="V90" s="95"/>
      <c r="W90" s="95"/>
      <c r="X90" s="95"/>
      <c r="Y90" s="95"/>
    </row>
    <row r="91" ht="15.75" customHeight="1">
      <c r="A91" s="95"/>
      <c r="B91" s="95"/>
      <c r="C91" s="95"/>
      <c r="D91" s="163"/>
      <c r="E91" s="163"/>
      <c r="F91" s="95"/>
      <c r="G91" s="95"/>
      <c r="H91" s="95"/>
      <c r="I91" s="95"/>
      <c r="J91" s="95"/>
      <c r="K91" s="95"/>
      <c r="L91" s="95"/>
      <c r="M91" s="95"/>
      <c r="N91" s="95"/>
      <c r="O91" s="95"/>
      <c r="P91" s="95"/>
      <c r="Q91" s="95"/>
      <c r="R91" s="95"/>
      <c r="S91" s="95"/>
      <c r="T91" s="95"/>
      <c r="U91" s="95"/>
      <c r="V91" s="95"/>
      <c r="W91" s="95"/>
      <c r="X91" s="95"/>
      <c r="Y91" s="95"/>
    </row>
    <row r="92" ht="15.75" customHeight="1">
      <c r="A92" s="95"/>
      <c r="B92" s="95"/>
      <c r="C92" s="95"/>
      <c r="D92" s="163"/>
      <c r="E92" s="163"/>
      <c r="F92" s="95"/>
      <c r="G92" s="95"/>
      <c r="H92" s="95"/>
      <c r="I92" s="95"/>
      <c r="J92" s="95"/>
      <c r="K92" s="95"/>
      <c r="L92" s="95"/>
      <c r="M92" s="95"/>
      <c r="N92" s="95"/>
      <c r="O92" s="95"/>
      <c r="P92" s="95"/>
      <c r="Q92" s="95"/>
      <c r="R92" s="95"/>
      <c r="S92" s="95"/>
      <c r="T92" s="95"/>
      <c r="U92" s="95"/>
      <c r="V92" s="95"/>
      <c r="W92" s="95"/>
      <c r="X92" s="95"/>
      <c r="Y92" s="95"/>
    </row>
    <row r="93" ht="15.75" customHeight="1">
      <c r="A93" s="95"/>
      <c r="B93" s="95"/>
      <c r="C93" s="95"/>
      <c r="D93" s="163"/>
      <c r="E93" s="163"/>
      <c r="F93" s="95"/>
      <c r="G93" s="95"/>
      <c r="H93" s="95"/>
      <c r="I93" s="95"/>
      <c r="J93" s="95"/>
      <c r="K93" s="95"/>
      <c r="L93" s="95"/>
      <c r="M93" s="95"/>
      <c r="N93" s="95"/>
      <c r="O93" s="95"/>
      <c r="P93" s="95"/>
      <c r="Q93" s="95"/>
      <c r="R93" s="95"/>
      <c r="S93" s="95"/>
      <c r="T93" s="95"/>
      <c r="U93" s="95"/>
      <c r="V93" s="95"/>
      <c r="W93" s="95"/>
      <c r="X93" s="95"/>
      <c r="Y93" s="95"/>
    </row>
    <row r="94" ht="15.75" customHeight="1">
      <c r="A94" s="95"/>
      <c r="B94" s="95"/>
      <c r="C94" s="95"/>
      <c r="D94" s="163"/>
      <c r="E94" s="163"/>
      <c r="F94" s="95"/>
      <c r="G94" s="95"/>
      <c r="H94" s="95"/>
      <c r="I94" s="95"/>
      <c r="J94" s="95"/>
      <c r="K94" s="95"/>
      <c r="L94" s="95"/>
      <c r="M94" s="95"/>
      <c r="N94" s="95"/>
      <c r="O94" s="95"/>
      <c r="P94" s="95"/>
      <c r="Q94" s="95"/>
      <c r="R94" s="95"/>
      <c r="S94" s="95"/>
      <c r="T94" s="95"/>
      <c r="U94" s="95"/>
      <c r="V94" s="95"/>
      <c r="W94" s="95"/>
      <c r="X94" s="95"/>
      <c r="Y94" s="95"/>
    </row>
    <row r="95" ht="15.75" customHeight="1">
      <c r="A95" s="95"/>
      <c r="B95" s="95"/>
      <c r="C95" s="95"/>
      <c r="D95" s="163"/>
      <c r="E95" s="163"/>
      <c r="F95" s="95"/>
      <c r="G95" s="95"/>
      <c r="H95" s="95"/>
      <c r="I95" s="95"/>
      <c r="J95" s="95"/>
      <c r="K95" s="95"/>
      <c r="L95" s="95"/>
      <c r="M95" s="95"/>
      <c r="N95" s="95"/>
      <c r="O95" s="95"/>
      <c r="P95" s="95"/>
      <c r="Q95" s="95"/>
      <c r="R95" s="95"/>
      <c r="S95" s="95"/>
      <c r="T95" s="95"/>
      <c r="U95" s="95"/>
      <c r="V95" s="95"/>
      <c r="W95" s="95"/>
      <c r="X95" s="95"/>
      <c r="Y95" s="95"/>
    </row>
    <row r="96" ht="15.75" customHeight="1">
      <c r="A96" s="95"/>
      <c r="B96" s="95"/>
      <c r="C96" s="95"/>
      <c r="D96" s="163"/>
      <c r="E96" s="163"/>
      <c r="F96" s="95"/>
      <c r="G96" s="95"/>
      <c r="H96" s="95"/>
      <c r="I96" s="95"/>
      <c r="J96" s="95"/>
      <c r="K96" s="95"/>
      <c r="L96" s="95"/>
      <c r="M96" s="95"/>
      <c r="N96" s="95"/>
      <c r="O96" s="95"/>
      <c r="P96" s="95"/>
      <c r="Q96" s="95"/>
      <c r="R96" s="95"/>
      <c r="S96" s="95"/>
      <c r="T96" s="95"/>
      <c r="U96" s="95"/>
      <c r="V96" s="95"/>
      <c r="W96" s="95"/>
      <c r="X96" s="95"/>
      <c r="Y96" s="95"/>
    </row>
    <row r="97" ht="15.75" customHeight="1">
      <c r="A97" s="95"/>
      <c r="B97" s="95"/>
      <c r="C97" s="95"/>
      <c r="D97" s="163"/>
      <c r="E97" s="163"/>
      <c r="F97" s="95"/>
      <c r="G97" s="95"/>
      <c r="H97" s="95"/>
      <c r="I97" s="95"/>
      <c r="J97" s="95"/>
      <c r="K97" s="95"/>
      <c r="L97" s="95"/>
      <c r="M97" s="95"/>
      <c r="N97" s="95"/>
      <c r="O97" s="95"/>
      <c r="P97" s="95"/>
      <c r="Q97" s="95"/>
      <c r="R97" s="95"/>
      <c r="S97" s="95"/>
      <c r="T97" s="95"/>
      <c r="U97" s="95"/>
      <c r="V97" s="95"/>
      <c r="W97" s="95"/>
      <c r="X97" s="95"/>
      <c r="Y97" s="95"/>
    </row>
    <row r="98" ht="15.75" customHeight="1">
      <c r="A98" s="95"/>
      <c r="B98" s="95"/>
      <c r="C98" s="95"/>
      <c r="D98" s="163"/>
      <c r="E98" s="163"/>
      <c r="F98" s="95"/>
      <c r="G98" s="95"/>
      <c r="H98" s="95"/>
      <c r="I98" s="95"/>
      <c r="J98" s="95"/>
      <c r="K98" s="95"/>
      <c r="L98" s="95"/>
      <c r="M98" s="95"/>
      <c r="N98" s="95"/>
      <c r="O98" s="95"/>
      <c r="P98" s="95"/>
      <c r="Q98" s="95"/>
      <c r="R98" s="95"/>
      <c r="S98" s="95"/>
      <c r="T98" s="95"/>
      <c r="U98" s="95"/>
      <c r="V98" s="95"/>
      <c r="W98" s="95"/>
      <c r="X98" s="95"/>
      <c r="Y98" s="95"/>
    </row>
    <row r="99" ht="15.75" customHeight="1">
      <c r="A99" s="95"/>
      <c r="B99" s="95"/>
      <c r="C99" s="95"/>
      <c r="D99" s="163"/>
      <c r="E99" s="163"/>
      <c r="F99" s="95"/>
      <c r="G99" s="95"/>
      <c r="H99" s="95"/>
      <c r="I99" s="95"/>
      <c r="J99" s="95"/>
      <c r="K99" s="95"/>
      <c r="L99" s="95"/>
      <c r="M99" s="95"/>
      <c r="N99" s="95"/>
      <c r="O99" s="95"/>
      <c r="P99" s="95"/>
      <c r="Q99" s="95"/>
      <c r="R99" s="95"/>
      <c r="S99" s="95"/>
      <c r="T99" s="95"/>
      <c r="U99" s="95"/>
      <c r="V99" s="95"/>
      <c r="W99" s="95"/>
      <c r="X99" s="95"/>
      <c r="Y99" s="95"/>
    </row>
    <row r="100" ht="15.75" customHeight="1">
      <c r="A100" s="95"/>
      <c r="B100" s="95"/>
      <c r="C100" s="95"/>
      <c r="D100" s="163"/>
      <c r="E100" s="163"/>
      <c r="F100" s="95"/>
      <c r="G100" s="95"/>
      <c r="H100" s="95"/>
      <c r="I100" s="95"/>
      <c r="J100" s="95"/>
      <c r="K100" s="95"/>
      <c r="L100" s="95"/>
      <c r="M100" s="95"/>
      <c r="N100" s="95"/>
      <c r="O100" s="95"/>
      <c r="P100" s="95"/>
      <c r="Q100" s="95"/>
      <c r="R100" s="95"/>
      <c r="S100" s="95"/>
      <c r="T100" s="95"/>
      <c r="U100" s="95"/>
      <c r="V100" s="95"/>
      <c r="W100" s="95"/>
      <c r="X100" s="95"/>
      <c r="Y100" s="95"/>
    </row>
    <row r="101" ht="15.75" customHeight="1">
      <c r="A101" s="95"/>
      <c r="B101" s="95"/>
      <c r="C101" s="95"/>
      <c r="D101" s="163"/>
      <c r="E101" s="163"/>
      <c r="F101" s="95"/>
      <c r="G101" s="95"/>
      <c r="H101" s="95"/>
      <c r="I101" s="95"/>
      <c r="J101" s="95"/>
      <c r="K101" s="95"/>
      <c r="L101" s="95"/>
      <c r="M101" s="95"/>
      <c r="N101" s="95"/>
      <c r="O101" s="95"/>
      <c r="P101" s="95"/>
      <c r="Q101" s="95"/>
      <c r="R101" s="95"/>
      <c r="S101" s="95"/>
      <c r="T101" s="95"/>
      <c r="U101" s="95"/>
      <c r="V101" s="95"/>
      <c r="W101" s="95"/>
      <c r="X101" s="95"/>
      <c r="Y101" s="95"/>
    </row>
    <row r="102" ht="15.75" customHeight="1">
      <c r="A102" s="95"/>
      <c r="B102" s="95"/>
      <c r="C102" s="95"/>
      <c r="D102" s="163"/>
      <c r="E102" s="163"/>
      <c r="F102" s="95"/>
      <c r="G102" s="95"/>
      <c r="H102" s="95"/>
      <c r="I102" s="95"/>
      <c r="J102" s="95"/>
      <c r="K102" s="95"/>
      <c r="L102" s="95"/>
      <c r="M102" s="95"/>
      <c r="N102" s="95"/>
      <c r="O102" s="95"/>
      <c r="P102" s="95"/>
      <c r="Q102" s="95"/>
      <c r="R102" s="95"/>
      <c r="S102" s="95"/>
      <c r="T102" s="95"/>
      <c r="U102" s="95"/>
      <c r="V102" s="95"/>
      <c r="W102" s="95"/>
      <c r="X102" s="95"/>
      <c r="Y102" s="95"/>
    </row>
    <row r="103" ht="15.75" customHeight="1">
      <c r="A103" s="95"/>
      <c r="B103" s="95"/>
      <c r="C103" s="95"/>
      <c r="D103" s="163"/>
      <c r="E103" s="163"/>
      <c r="F103" s="95"/>
      <c r="G103" s="95"/>
      <c r="H103" s="95"/>
      <c r="I103" s="95"/>
      <c r="J103" s="95"/>
      <c r="K103" s="95"/>
      <c r="L103" s="95"/>
      <c r="M103" s="95"/>
      <c r="N103" s="95"/>
      <c r="O103" s="95"/>
      <c r="P103" s="95"/>
      <c r="Q103" s="95"/>
      <c r="R103" s="95"/>
      <c r="S103" s="95"/>
      <c r="T103" s="95"/>
      <c r="U103" s="95"/>
      <c r="V103" s="95"/>
      <c r="W103" s="95"/>
      <c r="X103" s="95"/>
      <c r="Y103" s="95"/>
    </row>
    <row r="104" ht="15.75" customHeight="1">
      <c r="A104" s="95"/>
      <c r="B104" s="95"/>
      <c r="C104" s="95"/>
      <c r="D104" s="163"/>
      <c r="E104" s="163"/>
      <c r="F104" s="95"/>
      <c r="G104" s="95"/>
      <c r="H104" s="95"/>
      <c r="I104" s="95"/>
      <c r="J104" s="95"/>
      <c r="K104" s="95"/>
      <c r="L104" s="95"/>
      <c r="M104" s="95"/>
      <c r="N104" s="95"/>
      <c r="O104" s="95"/>
      <c r="P104" s="95"/>
      <c r="Q104" s="95"/>
      <c r="R104" s="95"/>
      <c r="S104" s="95"/>
      <c r="T104" s="95"/>
      <c r="U104" s="95"/>
      <c r="V104" s="95"/>
      <c r="W104" s="95"/>
      <c r="X104" s="95"/>
      <c r="Y104" s="95"/>
    </row>
    <row r="105" ht="15.75" customHeight="1">
      <c r="A105" s="95"/>
      <c r="B105" s="95"/>
      <c r="C105" s="95"/>
      <c r="D105" s="163"/>
      <c r="E105" s="163"/>
      <c r="F105" s="95"/>
      <c r="G105" s="95"/>
      <c r="H105" s="95"/>
      <c r="I105" s="95"/>
      <c r="J105" s="95"/>
      <c r="K105" s="95"/>
      <c r="L105" s="95"/>
      <c r="M105" s="95"/>
      <c r="N105" s="95"/>
      <c r="O105" s="95"/>
      <c r="P105" s="95"/>
      <c r="Q105" s="95"/>
      <c r="R105" s="95"/>
      <c r="S105" s="95"/>
      <c r="T105" s="95"/>
      <c r="U105" s="95"/>
      <c r="V105" s="95"/>
      <c r="W105" s="95"/>
      <c r="X105" s="95"/>
      <c r="Y105" s="95"/>
    </row>
    <row r="106" ht="15.75" customHeight="1">
      <c r="A106" s="95"/>
      <c r="B106" s="95"/>
      <c r="C106" s="95"/>
      <c r="D106" s="163"/>
      <c r="E106" s="163"/>
      <c r="F106" s="95"/>
      <c r="G106" s="95"/>
      <c r="H106" s="95"/>
      <c r="I106" s="95"/>
      <c r="J106" s="95"/>
      <c r="K106" s="95"/>
      <c r="L106" s="95"/>
      <c r="M106" s="95"/>
      <c r="N106" s="95"/>
      <c r="O106" s="95"/>
      <c r="P106" s="95"/>
      <c r="Q106" s="95"/>
      <c r="R106" s="95"/>
      <c r="S106" s="95"/>
      <c r="T106" s="95"/>
      <c r="U106" s="95"/>
      <c r="V106" s="95"/>
      <c r="W106" s="95"/>
      <c r="X106" s="95"/>
      <c r="Y106" s="95"/>
    </row>
    <row r="107" ht="15.75" customHeight="1">
      <c r="A107" s="95"/>
      <c r="B107" s="95"/>
      <c r="C107" s="95"/>
      <c r="D107" s="163"/>
      <c r="E107" s="163"/>
      <c r="F107" s="95"/>
      <c r="G107" s="95"/>
      <c r="H107" s="95"/>
      <c r="I107" s="95"/>
      <c r="J107" s="95"/>
      <c r="K107" s="95"/>
      <c r="L107" s="95"/>
      <c r="M107" s="95"/>
      <c r="N107" s="95"/>
      <c r="O107" s="95"/>
      <c r="P107" s="95"/>
      <c r="Q107" s="95"/>
      <c r="R107" s="95"/>
      <c r="S107" s="95"/>
      <c r="T107" s="95"/>
      <c r="U107" s="95"/>
      <c r="V107" s="95"/>
      <c r="W107" s="95"/>
      <c r="X107" s="95"/>
      <c r="Y107" s="95"/>
    </row>
    <row r="108" ht="15.75" customHeight="1">
      <c r="A108" s="95"/>
      <c r="B108" s="95"/>
      <c r="C108" s="95"/>
      <c r="D108" s="163"/>
      <c r="E108" s="163"/>
      <c r="F108" s="95"/>
      <c r="G108" s="95"/>
      <c r="H108" s="95"/>
      <c r="I108" s="95"/>
      <c r="J108" s="95"/>
      <c r="K108" s="95"/>
      <c r="L108" s="95"/>
      <c r="M108" s="95"/>
      <c r="N108" s="95"/>
      <c r="O108" s="95"/>
      <c r="P108" s="95"/>
      <c r="Q108" s="95"/>
      <c r="R108" s="95"/>
      <c r="S108" s="95"/>
      <c r="T108" s="95"/>
      <c r="U108" s="95"/>
      <c r="V108" s="95"/>
      <c r="W108" s="95"/>
      <c r="X108" s="95"/>
      <c r="Y108" s="95"/>
    </row>
    <row r="109" ht="15.75" customHeight="1">
      <c r="A109" s="95"/>
      <c r="B109" s="95"/>
      <c r="C109" s="95"/>
      <c r="D109" s="163"/>
      <c r="E109" s="163"/>
      <c r="F109" s="95"/>
      <c r="G109" s="95"/>
      <c r="H109" s="95"/>
      <c r="I109" s="95"/>
      <c r="J109" s="95"/>
      <c r="K109" s="95"/>
      <c r="L109" s="95"/>
      <c r="M109" s="95"/>
      <c r="N109" s="95"/>
      <c r="O109" s="95"/>
      <c r="P109" s="95"/>
      <c r="Q109" s="95"/>
      <c r="R109" s="95"/>
      <c r="S109" s="95"/>
      <c r="T109" s="95"/>
      <c r="U109" s="95"/>
      <c r="V109" s="95"/>
      <c r="W109" s="95"/>
      <c r="X109" s="95"/>
      <c r="Y109" s="95"/>
    </row>
    <row r="110" ht="15.75" customHeight="1">
      <c r="A110" s="95"/>
      <c r="B110" s="95"/>
      <c r="C110" s="95"/>
      <c r="D110" s="163"/>
      <c r="E110" s="163"/>
      <c r="F110" s="95"/>
      <c r="G110" s="95"/>
      <c r="H110" s="95"/>
      <c r="I110" s="95"/>
      <c r="J110" s="95"/>
      <c r="K110" s="95"/>
      <c r="L110" s="95"/>
      <c r="M110" s="95"/>
      <c r="N110" s="95"/>
      <c r="O110" s="95"/>
      <c r="P110" s="95"/>
      <c r="Q110" s="95"/>
      <c r="R110" s="95"/>
      <c r="S110" s="95"/>
      <c r="T110" s="95"/>
      <c r="U110" s="95"/>
      <c r="V110" s="95"/>
      <c r="W110" s="95"/>
      <c r="X110" s="95"/>
      <c r="Y110" s="95"/>
    </row>
    <row r="111" ht="15.75" customHeight="1">
      <c r="A111" s="95"/>
      <c r="B111" s="95"/>
      <c r="C111" s="95"/>
      <c r="D111" s="163"/>
      <c r="E111" s="163"/>
      <c r="F111" s="95"/>
      <c r="G111" s="95"/>
      <c r="H111" s="95"/>
      <c r="I111" s="95"/>
      <c r="J111" s="95"/>
      <c r="K111" s="95"/>
      <c r="L111" s="95"/>
      <c r="M111" s="95"/>
      <c r="N111" s="95"/>
      <c r="O111" s="95"/>
      <c r="P111" s="95"/>
      <c r="Q111" s="95"/>
      <c r="R111" s="95"/>
      <c r="S111" s="95"/>
      <c r="T111" s="95"/>
      <c r="U111" s="95"/>
      <c r="V111" s="95"/>
      <c r="W111" s="95"/>
      <c r="X111" s="95"/>
      <c r="Y111" s="95"/>
    </row>
    <row r="112" ht="15.75" customHeight="1">
      <c r="A112" s="95"/>
      <c r="B112" s="95"/>
      <c r="C112" s="95"/>
      <c r="D112" s="163"/>
      <c r="E112" s="163"/>
      <c r="F112" s="95"/>
      <c r="G112" s="95"/>
      <c r="H112" s="95"/>
      <c r="I112" s="95"/>
      <c r="J112" s="95"/>
      <c r="K112" s="95"/>
      <c r="L112" s="95"/>
      <c r="M112" s="95"/>
      <c r="N112" s="95"/>
      <c r="O112" s="95"/>
      <c r="P112" s="95"/>
      <c r="Q112" s="95"/>
      <c r="R112" s="95"/>
      <c r="S112" s="95"/>
      <c r="T112" s="95"/>
      <c r="U112" s="95"/>
      <c r="V112" s="95"/>
      <c r="W112" s="95"/>
      <c r="X112" s="95"/>
      <c r="Y112" s="95"/>
    </row>
    <row r="113" ht="15.75" customHeight="1">
      <c r="A113" s="95"/>
      <c r="B113" s="95"/>
      <c r="C113" s="95"/>
      <c r="D113" s="163"/>
      <c r="E113" s="163"/>
      <c r="F113" s="95"/>
      <c r="G113" s="95"/>
      <c r="H113" s="95"/>
      <c r="I113" s="95"/>
      <c r="J113" s="95"/>
      <c r="K113" s="95"/>
      <c r="L113" s="95"/>
      <c r="M113" s="95"/>
      <c r="N113" s="95"/>
      <c r="O113" s="95"/>
      <c r="P113" s="95"/>
      <c r="Q113" s="95"/>
      <c r="R113" s="95"/>
      <c r="S113" s="95"/>
      <c r="T113" s="95"/>
      <c r="U113" s="95"/>
      <c r="V113" s="95"/>
      <c r="W113" s="95"/>
      <c r="X113" s="95"/>
      <c r="Y113" s="95"/>
    </row>
    <row r="114" ht="15.75" customHeight="1">
      <c r="A114" s="95"/>
      <c r="B114" s="95"/>
      <c r="C114" s="95"/>
      <c r="D114" s="163"/>
      <c r="E114" s="163"/>
      <c r="F114" s="95"/>
      <c r="G114" s="95"/>
      <c r="H114" s="95"/>
      <c r="I114" s="95"/>
      <c r="J114" s="95"/>
      <c r="K114" s="95"/>
      <c r="L114" s="95"/>
      <c r="M114" s="95"/>
      <c r="N114" s="95"/>
      <c r="O114" s="95"/>
      <c r="P114" s="95"/>
      <c r="Q114" s="95"/>
      <c r="R114" s="95"/>
      <c r="S114" s="95"/>
      <c r="T114" s="95"/>
      <c r="U114" s="95"/>
      <c r="V114" s="95"/>
      <c r="W114" s="95"/>
      <c r="X114" s="95"/>
      <c r="Y114" s="95"/>
    </row>
    <row r="115" ht="15.75" customHeight="1">
      <c r="A115" s="95"/>
      <c r="B115" s="95"/>
      <c r="C115" s="95"/>
      <c r="D115" s="163"/>
      <c r="E115" s="163"/>
      <c r="F115" s="95"/>
      <c r="G115" s="95"/>
      <c r="H115" s="95"/>
      <c r="I115" s="95"/>
      <c r="J115" s="95"/>
      <c r="K115" s="95"/>
      <c r="L115" s="95"/>
      <c r="M115" s="95"/>
      <c r="N115" s="95"/>
      <c r="O115" s="95"/>
      <c r="P115" s="95"/>
      <c r="Q115" s="95"/>
      <c r="R115" s="95"/>
      <c r="S115" s="95"/>
      <c r="T115" s="95"/>
      <c r="U115" s="95"/>
      <c r="V115" s="95"/>
      <c r="W115" s="95"/>
      <c r="X115" s="95"/>
      <c r="Y115" s="95"/>
    </row>
    <row r="116" ht="15.75" customHeight="1">
      <c r="A116" s="95"/>
      <c r="B116" s="95"/>
      <c r="C116" s="95"/>
      <c r="D116" s="163"/>
      <c r="E116" s="163"/>
      <c r="F116" s="95"/>
      <c r="G116" s="95"/>
      <c r="H116" s="95"/>
      <c r="I116" s="95"/>
      <c r="J116" s="95"/>
      <c r="K116" s="95"/>
      <c r="L116" s="95"/>
      <c r="M116" s="95"/>
      <c r="N116" s="95"/>
      <c r="O116" s="95"/>
      <c r="P116" s="95"/>
      <c r="Q116" s="95"/>
      <c r="R116" s="95"/>
      <c r="S116" s="95"/>
      <c r="T116" s="95"/>
      <c r="U116" s="95"/>
      <c r="V116" s="95"/>
      <c r="W116" s="95"/>
      <c r="X116" s="95"/>
      <c r="Y116" s="95"/>
    </row>
    <row r="117" ht="15.75" customHeight="1">
      <c r="A117" s="95"/>
      <c r="B117" s="95"/>
      <c r="C117" s="95"/>
      <c r="D117" s="163"/>
      <c r="E117" s="163"/>
      <c r="F117" s="95"/>
      <c r="G117" s="95"/>
      <c r="H117" s="95"/>
      <c r="I117" s="95"/>
      <c r="J117" s="95"/>
      <c r="K117" s="95"/>
      <c r="L117" s="95"/>
      <c r="M117" s="95"/>
      <c r="N117" s="95"/>
      <c r="O117" s="95"/>
      <c r="P117" s="95"/>
      <c r="Q117" s="95"/>
      <c r="R117" s="95"/>
      <c r="S117" s="95"/>
      <c r="T117" s="95"/>
      <c r="U117" s="95"/>
      <c r="V117" s="95"/>
      <c r="W117" s="95"/>
      <c r="X117" s="95"/>
      <c r="Y117" s="95"/>
    </row>
    <row r="118" ht="15.75" customHeight="1">
      <c r="A118" s="95"/>
      <c r="B118" s="95"/>
      <c r="C118" s="95"/>
      <c r="D118" s="163"/>
      <c r="E118" s="163"/>
      <c r="F118" s="95"/>
      <c r="G118" s="95"/>
      <c r="H118" s="95"/>
      <c r="I118" s="95"/>
      <c r="J118" s="95"/>
      <c r="K118" s="95"/>
      <c r="L118" s="95"/>
      <c r="M118" s="95"/>
      <c r="N118" s="95"/>
      <c r="O118" s="95"/>
      <c r="P118" s="95"/>
      <c r="Q118" s="95"/>
      <c r="R118" s="95"/>
      <c r="S118" s="95"/>
      <c r="T118" s="95"/>
      <c r="U118" s="95"/>
      <c r="V118" s="95"/>
      <c r="W118" s="95"/>
      <c r="X118" s="95"/>
      <c r="Y118" s="95"/>
    </row>
    <row r="119" ht="15.75" customHeight="1">
      <c r="A119" s="95"/>
      <c r="B119" s="95"/>
      <c r="C119" s="95"/>
      <c r="D119" s="163"/>
      <c r="E119" s="163"/>
      <c r="F119" s="95"/>
      <c r="G119" s="95"/>
      <c r="H119" s="95"/>
      <c r="I119" s="95"/>
      <c r="J119" s="95"/>
      <c r="K119" s="95"/>
      <c r="L119" s="95"/>
      <c r="M119" s="95"/>
      <c r="N119" s="95"/>
      <c r="O119" s="95"/>
      <c r="P119" s="95"/>
      <c r="Q119" s="95"/>
      <c r="R119" s="95"/>
      <c r="S119" s="95"/>
      <c r="T119" s="95"/>
      <c r="U119" s="95"/>
      <c r="V119" s="95"/>
      <c r="W119" s="95"/>
      <c r="X119" s="95"/>
      <c r="Y119" s="95"/>
    </row>
    <row r="120" ht="15.75" customHeight="1">
      <c r="A120" s="95"/>
      <c r="B120" s="95"/>
      <c r="C120" s="95"/>
      <c r="D120" s="163"/>
      <c r="E120" s="163"/>
      <c r="F120" s="95"/>
      <c r="G120" s="95"/>
      <c r="H120" s="95"/>
      <c r="I120" s="95"/>
      <c r="J120" s="95"/>
      <c r="K120" s="95"/>
      <c r="L120" s="95"/>
      <c r="M120" s="95"/>
      <c r="N120" s="95"/>
      <c r="O120" s="95"/>
      <c r="P120" s="95"/>
      <c r="Q120" s="95"/>
      <c r="R120" s="95"/>
      <c r="S120" s="95"/>
      <c r="T120" s="95"/>
      <c r="U120" s="95"/>
      <c r="V120" s="95"/>
      <c r="W120" s="95"/>
      <c r="X120" s="95"/>
      <c r="Y120" s="95"/>
    </row>
    <row r="121" ht="15.75" customHeight="1">
      <c r="A121" s="95"/>
      <c r="B121" s="95"/>
      <c r="C121" s="95"/>
      <c r="D121" s="163"/>
      <c r="E121" s="163"/>
      <c r="F121" s="95"/>
      <c r="G121" s="95"/>
      <c r="H121" s="95"/>
      <c r="I121" s="95"/>
      <c r="J121" s="95"/>
      <c r="K121" s="95"/>
      <c r="L121" s="95"/>
      <c r="M121" s="95"/>
      <c r="N121" s="95"/>
      <c r="O121" s="95"/>
      <c r="P121" s="95"/>
      <c r="Q121" s="95"/>
      <c r="R121" s="95"/>
      <c r="S121" s="95"/>
      <c r="T121" s="95"/>
      <c r="U121" s="95"/>
      <c r="V121" s="95"/>
      <c r="W121" s="95"/>
      <c r="X121" s="95"/>
      <c r="Y121" s="95"/>
    </row>
    <row r="122" ht="15.75" customHeight="1">
      <c r="A122" s="95"/>
      <c r="B122" s="95"/>
      <c r="C122" s="95"/>
      <c r="D122" s="163"/>
      <c r="E122" s="163"/>
      <c r="F122" s="95"/>
      <c r="G122" s="95"/>
      <c r="H122" s="95"/>
      <c r="I122" s="95"/>
      <c r="J122" s="95"/>
      <c r="K122" s="95"/>
      <c r="L122" s="95"/>
      <c r="M122" s="95"/>
      <c r="N122" s="95"/>
      <c r="O122" s="95"/>
      <c r="P122" s="95"/>
      <c r="Q122" s="95"/>
      <c r="R122" s="95"/>
      <c r="S122" s="95"/>
      <c r="T122" s="95"/>
      <c r="U122" s="95"/>
      <c r="V122" s="95"/>
      <c r="W122" s="95"/>
      <c r="X122" s="95"/>
      <c r="Y122" s="95"/>
    </row>
    <row r="123" ht="15.75" customHeight="1">
      <c r="A123" s="95"/>
      <c r="B123" s="95"/>
      <c r="C123" s="95"/>
      <c r="D123" s="163"/>
      <c r="E123" s="163"/>
      <c r="F123" s="95"/>
      <c r="G123" s="95"/>
      <c r="H123" s="95"/>
      <c r="I123" s="95"/>
      <c r="J123" s="95"/>
      <c r="K123" s="95"/>
      <c r="L123" s="95"/>
      <c r="M123" s="95"/>
      <c r="N123" s="95"/>
      <c r="O123" s="95"/>
      <c r="P123" s="95"/>
      <c r="Q123" s="95"/>
      <c r="R123" s="95"/>
      <c r="S123" s="95"/>
      <c r="T123" s="95"/>
      <c r="U123" s="95"/>
      <c r="V123" s="95"/>
      <c r="W123" s="95"/>
      <c r="X123" s="95"/>
      <c r="Y123" s="95"/>
    </row>
    <row r="124" ht="15.75" customHeight="1">
      <c r="A124" s="95"/>
      <c r="B124" s="95"/>
      <c r="C124" s="95"/>
      <c r="D124" s="163"/>
      <c r="E124" s="163"/>
      <c r="F124" s="95"/>
      <c r="G124" s="95"/>
      <c r="H124" s="95"/>
      <c r="I124" s="95"/>
      <c r="J124" s="95"/>
      <c r="K124" s="95"/>
      <c r="L124" s="95"/>
      <c r="M124" s="95"/>
      <c r="N124" s="95"/>
      <c r="O124" s="95"/>
      <c r="P124" s="95"/>
      <c r="Q124" s="95"/>
      <c r="R124" s="95"/>
      <c r="S124" s="95"/>
      <c r="T124" s="95"/>
      <c r="U124" s="95"/>
      <c r="V124" s="95"/>
      <c r="W124" s="95"/>
      <c r="X124" s="95"/>
      <c r="Y124" s="95"/>
    </row>
    <row r="125" ht="15.75" customHeight="1">
      <c r="A125" s="95"/>
      <c r="B125" s="95"/>
      <c r="C125" s="95"/>
      <c r="D125" s="163"/>
      <c r="E125" s="163"/>
      <c r="F125" s="95"/>
      <c r="G125" s="95"/>
      <c r="H125" s="95"/>
      <c r="I125" s="95"/>
      <c r="J125" s="95"/>
      <c r="K125" s="95"/>
      <c r="L125" s="95"/>
      <c r="M125" s="95"/>
      <c r="N125" s="95"/>
      <c r="O125" s="95"/>
      <c r="P125" s="95"/>
      <c r="Q125" s="95"/>
      <c r="R125" s="95"/>
      <c r="S125" s="95"/>
      <c r="T125" s="95"/>
      <c r="U125" s="95"/>
      <c r="V125" s="95"/>
      <c r="W125" s="95"/>
      <c r="X125" s="95"/>
      <c r="Y125" s="95"/>
    </row>
    <row r="126" ht="15.75" customHeight="1">
      <c r="A126" s="95"/>
      <c r="B126" s="95"/>
      <c r="C126" s="95"/>
      <c r="D126" s="163"/>
      <c r="E126" s="163"/>
      <c r="F126" s="95"/>
      <c r="G126" s="95"/>
      <c r="H126" s="95"/>
      <c r="I126" s="95"/>
      <c r="J126" s="95"/>
      <c r="K126" s="95"/>
      <c r="L126" s="95"/>
      <c r="M126" s="95"/>
      <c r="N126" s="95"/>
      <c r="O126" s="95"/>
      <c r="P126" s="95"/>
      <c r="Q126" s="95"/>
      <c r="R126" s="95"/>
      <c r="S126" s="95"/>
      <c r="T126" s="95"/>
      <c r="U126" s="95"/>
      <c r="V126" s="95"/>
      <c r="W126" s="95"/>
      <c r="X126" s="95"/>
      <c r="Y126" s="95"/>
    </row>
    <row r="127" ht="15.75" customHeight="1">
      <c r="A127" s="95"/>
      <c r="B127" s="95"/>
      <c r="C127" s="95"/>
      <c r="D127" s="163"/>
      <c r="E127" s="163"/>
      <c r="F127" s="95"/>
      <c r="G127" s="95"/>
      <c r="H127" s="95"/>
      <c r="I127" s="95"/>
      <c r="J127" s="95"/>
      <c r="K127" s="95"/>
      <c r="L127" s="95"/>
      <c r="M127" s="95"/>
      <c r="N127" s="95"/>
      <c r="O127" s="95"/>
      <c r="P127" s="95"/>
      <c r="Q127" s="95"/>
      <c r="R127" s="95"/>
      <c r="S127" s="95"/>
      <c r="T127" s="95"/>
      <c r="U127" s="95"/>
      <c r="V127" s="95"/>
      <c r="W127" s="95"/>
      <c r="X127" s="95"/>
      <c r="Y127" s="95"/>
    </row>
    <row r="128" ht="15.75" customHeight="1">
      <c r="A128" s="95"/>
      <c r="B128" s="95"/>
      <c r="C128" s="95"/>
      <c r="D128" s="163"/>
      <c r="E128" s="163"/>
      <c r="F128" s="95"/>
      <c r="G128" s="95"/>
      <c r="H128" s="95"/>
      <c r="I128" s="95"/>
      <c r="J128" s="95"/>
      <c r="K128" s="95"/>
      <c r="L128" s="95"/>
      <c r="M128" s="95"/>
      <c r="N128" s="95"/>
      <c r="O128" s="95"/>
      <c r="P128" s="95"/>
      <c r="Q128" s="95"/>
      <c r="R128" s="95"/>
      <c r="S128" s="95"/>
      <c r="T128" s="95"/>
      <c r="U128" s="95"/>
      <c r="V128" s="95"/>
      <c r="W128" s="95"/>
      <c r="X128" s="95"/>
      <c r="Y128" s="95"/>
    </row>
    <row r="129" ht="15.75" customHeight="1">
      <c r="A129" s="95"/>
      <c r="B129" s="95"/>
      <c r="C129" s="95"/>
      <c r="D129" s="163"/>
      <c r="E129" s="163"/>
      <c r="F129" s="95"/>
      <c r="G129" s="95"/>
      <c r="H129" s="95"/>
      <c r="I129" s="95"/>
      <c r="J129" s="95"/>
      <c r="K129" s="95"/>
      <c r="L129" s="95"/>
      <c r="M129" s="95"/>
      <c r="N129" s="95"/>
      <c r="O129" s="95"/>
      <c r="P129" s="95"/>
      <c r="Q129" s="95"/>
      <c r="R129" s="95"/>
      <c r="S129" s="95"/>
      <c r="T129" s="95"/>
      <c r="U129" s="95"/>
      <c r="V129" s="95"/>
      <c r="W129" s="95"/>
      <c r="X129" s="95"/>
      <c r="Y129" s="95"/>
    </row>
    <row r="130" ht="15.75" customHeight="1">
      <c r="A130" s="95"/>
      <c r="B130" s="95"/>
      <c r="C130" s="95"/>
      <c r="D130" s="163"/>
      <c r="E130" s="163"/>
      <c r="F130" s="95"/>
      <c r="G130" s="95"/>
      <c r="H130" s="95"/>
      <c r="I130" s="95"/>
      <c r="J130" s="95"/>
      <c r="K130" s="95"/>
      <c r="L130" s="95"/>
      <c r="M130" s="95"/>
      <c r="N130" s="95"/>
      <c r="O130" s="95"/>
      <c r="P130" s="95"/>
      <c r="Q130" s="95"/>
      <c r="R130" s="95"/>
      <c r="S130" s="95"/>
      <c r="T130" s="95"/>
      <c r="U130" s="95"/>
      <c r="V130" s="95"/>
      <c r="W130" s="95"/>
      <c r="X130" s="95"/>
      <c r="Y130" s="95"/>
    </row>
    <row r="131" ht="15.75" customHeight="1">
      <c r="A131" s="95"/>
      <c r="B131" s="95"/>
      <c r="C131" s="95"/>
      <c r="D131" s="163"/>
      <c r="E131" s="163"/>
      <c r="F131" s="95"/>
      <c r="G131" s="95"/>
      <c r="H131" s="95"/>
      <c r="I131" s="95"/>
      <c r="J131" s="95"/>
      <c r="K131" s="95"/>
      <c r="L131" s="95"/>
      <c r="M131" s="95"/>
      <c r="N131" s="95"/>
      <c r="O131" s="95"/>
      <c r="P131" s="95"/>
      <c r="Q131" s="95"/>
      <c r="R131" s="95"/>
      <c r="S131" s="95"/>
      <c r="T131" s="95"/>
      <c r="U131" s="95"/>
      <c r="V131" s="95"/>
      <c r="W131" s="95"/>
      <c r="X131" s="95"/>
      <c r="Y131" s="95"/>
    </row>
    <row r="132" ht="15.75" customHeight="1">
      <c r="A132" s="95"/>
      <c r="B132" s="95"/>
      <c r="C132" s="95"/>
      <c r="D132" s="163"/>
      <c r="E132" s="163"/>
      <c r="F132" s="95"/>
      <c r="G132" s="95"/>
      <c r="H132" s="95"/>
      <c r="I132" s="95"/>
      <c r="J132" s="95"/>
      <c r="K132" s="95"/>
      <c r="L132" s="95"/>
      <c r="M132" s="95"/>
      <c r="N132" s="95"/>
      <c r="O132" s="95"/>
      <c r="P132" s="95"/>
      <c r="Q132" s="95"/>
      <c r="R132" s="95"/>
      <c r="S132" s="95"/>
      <c r="T132" s="95"/>
      <c r="U132" s="95"/>
      <c r="V132" s="95"/>
      <c r="W132" s="95"/>
      <c r="X132" s="95"/>
      <c r="Y132" s="95"/>
    </row>
    <row r="133" ht="15.75" customHeight="1">
      <c r="A133" s="95"/>
      <c r="B133" s="95"/>
      <c r="C133" s="95"/>
      <c r="D133" s="163"/>
      <c r="E133" s="163"/>
      <c r="F133" s="95"/>
      <c r="G133" s="95"/>
      <c r="H133" s="95"/>
      <c r="I133" s="95"/>
      <c r="J133" s="95"/>
      <c r="K133" s="95"/>
      <c r="L133" s="95"/>
      <c r="M133" s="95"/>
      <c r="N133" s="95"/>
      <c r="O133" s="95"/>
      <c r="P133" s="95"/>
      <c r="Q133" s="95"/>
      <c r="R133" s="95"/>
      <c r="S133" s="95"/>
      <c r="T133" s="95"/>
      <c r="U133" s="95"/>
      <c r="V133" s="95"/>
      <c r="W133" s="95"/>
      <c r="X133" s="95"/>
      <c r="Y133" s="95"/>
    </row>
    <row r="134" ht="15.75" customHeight="1">
      <c r="A134" s="95"/>
      <c r="B134" s="95"/>
      <c r="C134" s="95"/>
      <c r="D134" s="163"/>
      <c r="E134" s="163"/>
      <c r="F134" s="95"/>
      <c r="G134" s="95"/>
      <c r="H134" s="95"/>
      <c r="I134" s="95"/>
      <c r="J134" s="95"/>
      <c r="K134" s="95"/>
      <c r="L134" s="95"/>
      <c r="M134" s="95"/>
      <c r="N134" s="95"/>
      <c r="O134" s="95"/>
      <c r="P134" s="95"/>
      <c r="Q134" s="95"/>
      <c r="R134" s="95"/>
      <c r="S134" s="95"/>
      <c r="T134" s="95"/>
      <c r="U134" s="95"/>
      <c r="V134" s="95"/>
      <c r="W134" s="95"/>
      <c r="X134" s="95"/>
      <c r="Y134" s="95"/>
    </row>
    <row r="135" ht="15.75" customHeight="1">
      <c r="A135" s="95"/>
      <c r="B135" s="95"/>
      <c r="C135" s="95"/>
      <c r="D135" s="163"/>
      <c r="E135" s="163"/>
      <c r="F135" s="95"/>
      <c r="G135" s="95"/>
      <c r="H135" s="95"/>
      <c r="I135" s="95"/>
      <c r="J135" s="95"/>
      <c r="K135" s="95"/>
      <c r="L135" s="95"/>
      <c r="M135" s="95"/>
      <c r="N135" s="95"/>
      <c r="O135" s="95"/>
      <c r="P135" s="95"/>
      <c r="Q135" s="95"/>
      <c r="R135" s="95"/>
      <c r="S135" s="95"/>
      <c r="T135" s="95"/>
      <c r="U135" s="95"/>
      <c r="V135" s="95"/>
      <c r="W135" s="95"/>
      <c r="X135" s="95"/>
      <c r="Y135" s="95"/>
    </row>
    <row r="136" ht="15.75" customHeight="1">
      <c r="A136" s="95"/>
      <c r="B136" s="95"/>
      <c r="C136" s="95"/>
      <c r="D136" s="163"/>
      <c r="E136" s="163"/>
      <c r="F136" s="95"/>
      <c r="G136" s="95"/>
      <c r="H136" s="95"/>
      <c r="I136" s="95"/>
      <c r="J136" s="95"/>
      <c r="K136" s="95"/>
      <c r="L136" s="95"/>
      <c r="M136" s="95"/>
      <c r="N136" s="95"/>
      <c r="O136" s="95"/>
      <c r="P136" s="95"/>
      <c r="Q136" s="95"/>
      <c r="R136" s="95"/>
      <c r="S136" s="95"/>
      <c r="T136" s="95"/>
      <c r="U136" s="95"/>
      <c r="V136" s="95"/>
      <c r="W136" s="95"/>
      <c r="X136" s="95"/>
      <c r="Y136" s="95"/>
    </row>
    <row r="137" ht="15.75" customHeight="1">
      <c r="A137" s="95"/>
      <c r="B137" s="95"/>
      <c r="C137" s="95"/>
      <c r="D137" s="163"/>
      <c r="E137" s="163"/>
      <c r="F137" s="95"/>
      <c r="G137" s="95"/>
      <c r="H137" s="95"/>
      <c r="I137" s="95"/>
      <c r="J137" s="95"/>
      <c r="K137" s="95"/>
      <c r="L137" s="95"/>
      <c r="M137" s="95"/>
      <c r="N137" s="95"/>
      <c r="O137" s="95"/>
      <c r="P137" s="95"/>
      <c r="Q137" s="95"/>
      <c r="R137" s="95"/>
      <c r="S137" s="95"/>
      <c r="T137" s="95"/>
      <c r="U137" s="95"/>
      <c r="V137" s="95"/>
      <c r="W137" s="95"/>
      <c r="X137" s="95"/>
      <c r="Y137" s="95"/>
    </row>
    <row r="138" ht="15.75" customHeight="1">
      <c r="A138" s="95"/>
      <c r="B138" s="95"/>
      <c r="C138" s="95"/>
      <c r="D138" s="163"/>
      <c r="E138" s="163"/>
      <c r="F138" s="95"/>
      <c r="G138" s="95"/>
      <c r="H138" s="95"/>
      <c r="I138" s="95"/>
      <c r="J138" s="95"/>
      <c r="K138" s="95"/>
      <c r="L138" s="95"/>
      <c r="M138" s="95"/>
      <c r="N138" s="95"/>
      <c r="O138" s="95"/>
      <c r="P138" s="95"/>
      <c r="Q138" s="95"/>
      <c r="R138" s="95"/>
      <c r="S138" s="95"/>
      <c r="T138" s="95"/>
      <c r="U138" s="95"/>
      <c r="V138" s="95"/>
      <c r="W138" s="95"/>
      <c r="X138" s="95"/>
      <c r="Y138" s="95"/>
    </row>
    <row r="139" ht="15.75" customHeight="1">
      <c r="A139" s="95"/>
      <c r="B139" s="95"/>
      <c r="C139" s="95"/>
      <c r="D139" s="163"/>
      <c r="E139" s="163"/>
      <c r="F139" s="95"/>
      <c r="G139" s="95"/>
      <c r="H139" s="95"/>
      <c r="I139" s="95"/>
      <c r="J139" s="95"/>
      <c r="K139" s="95"/>
      <c r="L139" s="95"/>
      <c r="M139" s="95"/>
      <c r="N139" s="95"/>
      <c r="O139" s="95"/>
      <c r="P139" s="95"/>
      <c r="Q139" s="95"/>
      <c r="R139" s="95"/>
      <c r="S139" s="95"/>
      <c r="T139" s="95"/>
      <c r="U139" s="95"/>
      <c r="V139" s="95"/>
      <c r="W139" s="95"/>
      <c r="X139" s="95"/>
      <c r="Y139" s="95"/>
    </row>
    <row r="140" ht="15.75" customHeight="1">
      <c r="A140" s="95"/>
      <c r="B140" s="95"/>
      <c r="C140" s="95"/>
      <c r="D140" s="163"/>
      <c r="E140" s="163"/>
      <c r="F140" s="95"/>
      <c r="G140" s="95"/>
      <c r="H140" s="95"/>
      <c r="I140" s="95"/>
      <c r="J140" s="95"/>
      <c r="K140" s="95"/>
      <c r="L140" s="95"/>
      <c r="M140" s="95"/>
      <c r="N140" s="95"/>
      <c r="O140" s="95"/>
      <c r="P140" s="95"/>
      <c r="Q140" s="95"/>
      <c r="R140" s="95"/>
      <c r="S140" s="95"/>
      <c r="T140" s="95"/>
      <c r="U140" s="95"/>
      <c r="V140" s="95"/>
      <c r="W140" s="95"/>
      <c r="X140" s="95"/>
      <c r="Y140" s="95"/>
    </row>
    <row r="141" ht="15.75" customHeight="1">
      <c r="A141" s="95"/>
      <c r="B141" s="95"/>
      <c r="C141" s="95"/>
      <c r="D141" s="163"/>
      <c r="E141" s="163"/>
      <c r="F141" s="95"/>
      <c r="G141" s="95"/>
      <c r="H141" s="95"/>
      <c r="I141" s="95"/>
      <c r="J141" s="95"/>
      <c r="K141" s="95"/>
      <c r="L141" s="95"/>
      <c r="M141" s="95"/>
      <c r="N141" s="95"/>
      <c r="O141" s="95"/>
      <c r="P141" s="95"/>
      <c r="Q141" s="95"/>
      <c r="R141" s="95"/>
      <c r="S141" s="95"/>
      <c r="T141" s="95"/>
      <c r="U141" s="95"/>
      <c r="V141" s="95"/>
      <c r="W141" s="95"/>
      <c r="X141" s="95"/>
      <c r="Y141" s="95"/>
    </row>
    <row r="142" ht="15.75" customHeight="1">
      <c r="A142" s="95"/>
      <c r="B142" s="95"/>
      <c r="C142" s="95"/>
      <c r="D142" s="163"/>
      <c r="E142" s="163"/>
      <c r="F142" s="95"/>
      <c r="G142" s="95"/>
      <c r="H142" s="95"/>
      <c r="I142" s="95"/>
      <c r="J142" s="95"/>
      <c r="K142" s="95"/>
      <c r="L142" s="95"/>
      <c r="M142" s="95"/>
      <c r="N142" s="95"/>
      <c r="O142" s="95"/>
      <c r="P142" s="95"/>
      <c r="Q142" s="95"/>
      <c r="R142" s="95"/>
      <c r="S142" s="95"/>
      <c r="T142" s="95"/>
      <c r="U142" s="95"/>
      <c r="V142" s="95"/>
      <c r="W142" s="95"/>
      <c r="X142" s="95"/>
      <c r="Y142" s="95"/>
    </row>
    <row r="143" ht="15.75" customHeight="1">
      <c r="A143" s="95"/>
      <c r="B143" s="95"/>
      <c r="C143" s="95"/>
      <c r="D143" s="163"/>
      <c r="E143" s="163"/>
      <c r="F143" s="95"/>
      <c r="G143" s="95"/>
      <c r="H143" s="95"/>
      <c r="I143" s="95"/>
      <c r="J143" s="95"/>
      <c r="K143" s="95"/>
      <c r="L143" s="95"/>
      <c r="M143" s="95"/>
      <c r="N143" s="95"/>
      <c r="O143" s="95"/>
      <c r="P143" s="95"/>
      <c r="Q143" s="95"/>
      <c r="R143" s="95"/>
      <c r="S143" s="95"/>
      <c r="T143" s="95"/>
      <c r="U143" s="95"/>
      <c r="V143" s="95"/>
      <c r="W143" s="95"/>
      <c r="X143" s="95"/>
      <c r="Y143" s="95"/>
    </row>
    <row r="144" ht="15.75" customHeight="1">
      <c r="A144" s="95"/>
      <c r="B144" s="95"/>
      <c r="C144" s="95"/>
      <c r="D144" s="163"/>
      <c r="E144" s="163"/>
      <c r="F144" s="95"/>
      <c r="G144" s="95"/>
      <c r="H144" s="95"/>
      <c r="I144" s="95"/>
      <c r="J144" s="95"/>
      <c r="K144" s="95"/>
      <c r="L144" s="95"/>
      <c r="M144" s="95"/>
      <c r="N144" s="95"/>
      <c r="O144" s="95"/>
      <c r="P144" s="95"/>
      <c r="Q144" s="95"/>
      <c r="R144" s="95"/>
      <c r="S144" s="95"/>
      <c r="T144" s="95"/>
      <c r="U144" s="95"/>
      <c r="V144" s="95"/>
      <c r="W144" s="95"/>
      <c r="X144" s="95"/>
      <c r="Y144" s="95"/>
    </row>
    <row r="145" ht="15.75" customHeight="1">
      <c r="A145" s="95"/>
      <c r="B145" s="95"/>
      <c r="C145" s="95"/>
      <c r="D145" s="163"/>
      <c r="E145" s="163"/>
      <c r="F145" s="95"/>
      <c r="G145" s="95"/>
      <c r="H145" s="95"/>
      <c r="I145" s="95"/>
      <c r="J145" s="95"/>
      <c r="K145" s="95"/>
      <c r="L145" s="95"/>
      <c r="M145" s="95"/>
      <c r="N145" s="95"/>
      <c r="O145" s="95"/>
      <c r="P145" s="95"/>
      <c r="Q145" s="95"/>
      <c r="R145" s="95"/>
      <c r="S145" s="95"/>
      <c r="T145" s="95"/>
      <c r="U145" s="95"/>
      <c r="V145" s="95"/>
      <c r="W145" s="95"/>
      <c r="X145" s="95"/>
      <c r="Y145" s="95"/>
    </row>
    <row r="146" ht="15.75" customHeight="1">
      <c r="A146" s="95"/>
      <c r="B146" s="95"/>
      <c r="C146" s="95"/>
      <c r="D146" s="163"/>
      <c r="E146" s="163"/>
      <c r="F146" s="95"/>
      <c r="G146" s="95"/>
      <c r="H146" s="95"/>
      <c r="I146" s="95"/>
      <c r="J146" s="95"/>
      <c r="K146" s="95"/>
      <c r="L146" s="95"/>
      <c r="M146" s="95"/>
      <c r="N146" s="95"/>
      <c r="O146" s="95"/>
      <c r="P146" s="95"/>
      <c r="Q146" s="95"/>
      <c r="R146" s="95"/>
      <c r="S146" s="95"/>
      <c r="T146" s="95"/>
      <c r="U146" s="95"/>
      <c r="V146" s="95"/>
      <c r="W146" s="95"/>
      <c r="X146" s="95"/>
      <c r="Y146" s="95"/>
    </row>
    <row r="147" ht="15.75" customHeight="1">
      <c r="A147" s="95"/>
      <c r="B147" s="95"/>
      <c r="C147" s="95"/>
      <c r="D147" s="163"/>
      <c r="E147" s="163"/>
      <c r="F147" s="95"/>
      <c r="G147" s="95"/>
      <c r="H147" s="95"/>
      <c r="I147" s="95"/>
      <c r="J147" s="95"/>
      <c r="K147" s="95"/>
      <c r="L147" s="95"/>
      <c r="M147" s="95"/>
      <c r="N147" s="95"/>
      <c r="O147" s="95"/>
      <c r="P147" s="95"/>
      <c r="Q147" s="95"/>
      <c r="R147" s="95"/>
      <c r="S147" s="95"/>
      <c r="T147" s="95"/>
      <c r="U147" s="95"/>
      <c r="V147" s="95"/>
      <c r="W147" s="95"/>
      <c r="X147" s="95"/>
      <c r="Y147" s="95"/>
    </row>
    <row r="148" ht="15.75" customHeight="1">
      <c r="A148" s="95"/>
      <c r="B148" s="95"/>
      <c r="C148" s="95"/>
      <c r="D148" s="163"/>
      <c r="E148" s="163"/>
      <c r="F148" s="95"/>
      <c r="G148" s="95"/>
      <c r="H148" s="95"/>
      <c r="I148" s="95"/>
      <c r="J148" s="95"/>
      <c r="K148" s="95"/>
      <c r="L148" s="95"/>
      <c r="M148" s="95"/>
      <c r="N148" s="95"/>
      <c r="O148" s="95"/>
      <c r="P148" s="95"/>
      <c r="Q148" s="95"/>
      <c r="R148" s="95"/>
      <c r="S148" s="95"/>
      <c r="T148" s="95"/>
      <c r="U148" s="95"/>
      <c r="V148" s="95"/>
      <c r="W148" s="95"/>
      <c r="X148" s="95"/>
      <c r="Y148" s="95"/>
    </row>
    <row r="149" ht="15.75" customHeight="1">
      <c r="A149" s="95"/>
      <c r="B149" s="95"/>
      <c r="C149" s="95"/>
      <c r="D149" s="163"/>
      <c r="E149" s="163"/>
      <c r="F149" s="95"/>
      <c r="G149" s="95"/>
      <c r="H149" s="95"/>
      <c r="I149" s="95"/>
      <c r="J149" s="95"/>
      <c r="K149" s="95"/>
      <c r="L149" s="95"/>
      <c r="M149" s="95"/>
      <c r="N149" s="95"/>
      <c r="O149" s="95"/>
      <c r="P149" s="95"/>
      <c r="Q149" s="95"/>
      <c r="R149" s="95"/>
      <c r="S149" s="95"/>
      <c r="T149" s="95"/>
      <c r="U149" s="95"/>
      <c r="V149" s="95"/>
      <c r="W149" s="95"/>
      <c r="X149" s="95"/>
      <c r="Y149" s="95"/>
    </row>
    <row r="150" ht="15.75" customHeight="1">
      <c r="A150" s="95"/>
      <c r="B150" s="95"/>
      <c r="C150" s="95"/>
      <c r="D150" s="163"/>
      <c r="E150" s="163"/>
      <c r="F150" s="95"/>
      <c r="G150" s="95"/>
      <c r="H150" s="95"/>
      <c r="I150" s="95"/>
      <c r="J150" s="95"/>
      <c r="K150" s="95"/>
      <c r="L150" s="95"/>
      <c r="M150" s="95"/>
      <c r="N150" s="95"/>
      <c r="O150" s="95"/>
      <c r="P150" s="95"/>
      <c r="Q150" s="95"/>
      <c r="R150" s="95"/>
      <c r="S150" s="95"/>
      <c r="T150" s="95"/>
      <c r="U150" s="95"/>
      <c r="V150" s="95"/>
      <c r="W150" s="95"/>
      <c r="X150" s="95"/>
      <c r="Y150" s="95"/>
    </row>
    <row r="151" ht="15.75" customHeight="1">
      <c r="A151" s="95"/>
      <c r="B151" s="95"/>
      <c r="C151" s="95"/>
      <c r="D151" s="163"/>
      <c r="E151" s="163"/>
      <c r="F151" s="95"/>
      <c r="G151" s="95"/>
      <c r="H151" s="95"/>
      <c r="I151" s="95"/>
      <c r="J151" s="95"/>
      <c r="K151" s="95"/>
      <c r="L151" s="95"/>
      <c r="M151" s="95"/>
      <c r="N151" s="95"/>
      <c r="O151" s="95"/>
      <c r="P151" s="95"/>
      <c r="Q151" s="95"/>
      <c r="R151" s="95"/>
      <c r="S151" s="95"/>
      <c r="T151" s="95"/>
      <c r="U151" s="95"/>
      <c r="V151" s="95"/>
      <c r="W151" s="95"/>
      <c r="X151" s="95"/>
      <c r="Y151" s="95"/>
    </row>
    <row r="152" ht="15.75" customHeight="1">
      <c r="A152" s="95"/>
      <c r="B152" s="95"/>
      <c r="C152" s="95"/>
      <c r="D152" s="163"/>
      <c r="E152" s="163"/>
      <c r="F152" s="95"/>
      <c r="G152" s="95"/>
      <c r="H152" s="95"/>
      <c r="I152" s="95"/>
      <c r="J152" s="95"/>
      <c r="K152" s="95"/>
      <c r="L152" s="95"/>
      <c r="M152" s="95"/>
      <c r="N152" s="95"/>
      <c r="O152" s="95"/>
      <c r="P152" s="95"/>
      <c r="Q152" s="95"/>
      <c r="R152" s="95"/>
      <c r="S152" s="95"/>
      <c r="T152" s="95"/>
      <c r="U152" s="95"/>
      <c r="V152" s="95"/>
      <c r="W152" s="95"/>
      <c r="X152" s="95"/>
      <c r="Y152" s="95"/>
    </row>
    <row r="153" ht="15.75" customHeight="1">
      <c r="A153" s="95"/>
      <c r="B153" s="95"/>
      <c r="C153" s="95"/>
      <c r="D153" s="163"/>
      <c r="E153" s="163"/>
      <c r="F153" s="95"/>
      <c r="G153" s="95"/>
      <c r="H153" s="95"/>
      <c r="I153" s="95"/>
      <c r="J153" s="95"/>
      <c r="K153" s="95"/>
      <c r="L153" s="95"/>
      <c r="M153" s="95"/>
      <c r="N153" s="95"/>
      <c r="O153" s="95"/>
      <c r="P153" s="95"/>
      <c r="Q153" s="95"/>
      <c r="R153" s="95"/>
      <c r="S153" s="95"/>
      <c r="T153" s="95"/>
      <c r="U153" s="95"/>
      <c r="V153" s="95"/>
      <c r="W153" s="95"/>
      <c r="X153" s="95"/>
      <c r="Y153" s="95"/>
    </row>
    <row r="154" ht="15.75" customHeight="1">
      <c r="A154" s="95"/>
      <c r="B154" s="95"/>
      <c r="C154" s="95"/>
      <c r="D154" s="163"/>
      <c r="E154" s="163"/>
      <c r="F154" s="95"/>
      <c r="G154" s="95"/>
      <c r="H154" s="95"/>
      <c r="I154" s="95"/>
      <c r="J154" s="95"/>
      <c r="K154" s="95"/>
      <c r="L154" s="95"/>
      <c r="M154" s="95"/>
      <c r="N154" s="95"/>
      <c r="O154" s="95"/>
      <c r="P154" s="95"/>
      <c r="Q154" s="95"/>
      <c r="R154" s="95"/>
      <c r="S154" s="95"/>
      <c r="T154" s="95"/>
      <c r="U154" s="95"/>
      <c r="V154" s="95"/>
      <c r="W154" s="95"/>
      <c r="X154" s="95"/>
      <c r="Y154" s="95"/>
    </row>
    <row r="155" ht="15.75" customHeight="1">
      <c r="A155" s="95"/>
      <c r="B155" s="95"/>
      <c r="C155" s="95"/>
      <c r="D155" s="163"/>
      <c r="E155" s="163"/>
      <c r="F155" s="95"/>
      <c r="G155" s="95"/>
      <c r="H155" s="95"/>
      <c r="I155" s="95"/>
      <c r="J155" s="95"/>
      <c r="K155" s="95"/>
      <c r="L155" s="95"/>
      <c r="M155" s="95"/>
      <c r="N155" s="95"/>
      <c r="O155" s="95"/>
      <c r="P155" s="95"/>
      <c r="Q155" s="95"/>
      <c r="R155" s="95"/>
      <c r="S155" s="95"/>
      <c r="T155" s="95"/>
      <c r="U155" s="95"/>
      <c r="V155" s="95"/>
      <c r="W155" s="95"/>
      <c r="X155" s="95"/>
      <c r="Y155" s="95"/>
    </row>
    <row r="156" ht="15.75" customHeight="1">
      <c r="A156" s="95"/>
      <c r="B156" s="95"/>
      <c r="C156" s="95"/>
      <c r="D156" s="163"/>
      <c r="E156" s="163"/>
      <c r="F156" s="95"/>
      <c r="G156" s="95"/>
      <c r="H156" s="95"/>
      <c r="I156" s="95"/>
      <c r="J156" s="95"/>
      <c r="K156" s="95"/>
      <c r="L156" s="95"/>
      <c r="M156" s="95"/>
      <c r="N156" s="95"/>
      <c r="O156" s="95"/>
      <c r="P156" s="95"/>
      <c r="Q156" s="95"/>
      <c r="R156" s="95"/>
      <c r="S156" s="95"/>
      <c r="T156" s="95"/>
      <c r="U156" s="95"/>
      <c r="V156" s="95"/>
      <c r="W156" s="95"/>
      <c r="X156" s="95"/>
      <c r="Y156" s="95"/>
    </row>
    <row r="157" ht="15.75" customHeight="1">
      <c r="A157" s="95"/>
      <c r="B157" s="95"/>
      <c r="C157" s="95"/>
      <c r="D157" s="163"/>
      <c r="E157" s="163"/>
      <c r="F157" s="95"/>
      <c r="G157" s="95"/>
      <c r="H157" s="95"/>
      <c r="I157" s="95"/>
      <c r="J157" s="95"/>
      <c r="K157" s="95"/>
      <c r="L157" s="95"/>
      <c r="M157" s="95"/>
      <c r="N157" s="95"/>
      <c r="O157" s="95"/>
      <c r="P157" s="95"/>
      <c r="Q157" s="95"/>
      <c r="R157" s="95"/>
      <c r="S157" s="95"/>
      <c r="T157" s="95"/>
      <c r="U157" s="95"/>
      <c r="V157" s="95"/>
      <c r="W157" s="95"/>
      <c r="X157" s="95"/>
      <c r="Y157" s="95"/>
    </row>
    <row r="158" ht="15.75" customHeight="1">
      <c r="A158" s="95"/>
      <c r="B158" s="95"/>
      <c r="C158" s="95"/>
      <c r="D158" s="163"/>
      <c r="E158" s="163"/>
      <c r="F158" s="95"/>
      <c r="G158" s="95"/>
      <c r="H158" s="95"/>
      <c r="I158" s="95"/>
      <c r="J158" s="95"/>
      <c r="K158" s="95"/>
      <c r="L158" s="95"/>
      <c r="M158" s="95"/>
      <c r="N158" s="95"/>
      <c r="O158" s="95"/>
      <c r="P158" s="95"/>
      <c r="Q158" s="95"/>
      <c r="R158" s="95"/>
      <c r="S158" s="95"/>
      <c r="T158" s="95"/>
      <c r="U158" s="95"/>
      <c r="V158" s="95"/>
      <c r="W158" s="95"/>
      <c r="X158" s="95"/>
      <c r="Y158" s="95"/>
    </row>
    <row r="159" ht="15.75" customHeight="1">
      <c r="A159" s="95"/>
      <c r="B159" s="95"/>
      <c r="C159" s="95"/>
      <c r="D159" s="163"/>
      <c r="E159" s="163"/>
      <c r="F159" s="95"/>
      <c r="G159" s="95"/>
      <c r="H159" s="95"/>
      <c r="I159" s="95"/>
      <c r="J159" s="95"/>
      <c r="K159" s="95"/>
      <c r="L159" s="95"/>
      <c r="M159" s="95"/>
      <c r="N159" s="95"/>
      <c r="O159" s="95"/>
      <c r="P159" s="95"/>
      <c r="Q159" s="95"/>
      <c r="R159" s="95"/>
      <c r="S159" s="95"/>
      <c r="T159" s="95"/>
      <c r="U159" s="95"/>
      <c r="V159" s="95"/>
      <c r="W159" s="95"/>
      <c r="X159" s="95"/>
      <c r="Y159" s="95"/>
    </row>
    <row r="160" ht="15.75" customHeight="1">
      <c r="A160" s="95"/>
      <c r="B160" s="95"/>
      <c r="C160" s="95"/>
      <c r="D160" s="163"/>
      <c r="E160" s="163"/>
      <c r="F160" s="95"/>
      <c r="G160" s="95"/>
      <c r="H160" s="95"/>
      <c r="I160" s="95"/>
      <c r="J160" s="95"/>
      <c r="K160" s="95"/>
      <c r="L160" s="95"/>
      <c r="M160" s="95"/>
      <c r="N160" s="95"/>
      <c r="O160" s="95"/>
      <c r="P160" s="95"/>
      <c r="Q160" s="95"/>
      <c r="R160" s="95"/>
      <c r="S160" s="95"/>
      <c r="T160" s="95"/>
      <c r="U160" s="95"/>
      <c r="V160" s="95"/>
      <c r="W160" s="95"/>
      <c r="X160" s="95"/>
      <c r="Y160" s="95"/>
    </row>
    <row r="161" ht="15.75" customHeight="1">
      <c r="A161" s="95"/>
      <c r="B161" s="95"/>
      <c r="C161" s="95"/>
      <c r="D161" s="163"/>
      <c r="E161" s="163"/>
      <c r="F161" s="95"/>
      <c r="G161" s="95"/>
      <c r="H161" s="95"/>
      <c r="I161" s="95"/>
      <c r="J161" s="95"/>
      <c r="K161" s="95"/>
      <c r="L161" s="95"/>
      <c r="M161" s="95"/>
      <c r="N161" s="95"/>
      <c r="O161" s="95"/>
      <c r="P161" s="95"/>
      <c r="Q161" s="95"/>
      <c r="R161" s="95"/>
      <c r="S161" s="95"/>
      <c r="T161" s="95"/>
      <c r="U161" s="95"/>
      <c r="V161" s="95"/>
      <c r="W161" s="95"/>
      <c r="X161" s="95"/>
      <c r="Y161" s="95"/>
    </row>
    <row r="162" ht="15.75" customHeight="1">
      <c r="A162" s="95"/>
      <c r="B162" s="95"/>
      <c r="C162" s="95"/>
      <c r="D162" s="163"/>
      <c r="E162" s="163"/>
      <c r="F162" s="95"/>
      <c r="G162" s="95"/>
      <c r="H162" s="95"/>
      <c r="I162" s="95"/>
      <c r="J162" s="95"/>
      <c r="K162" s="95"/>
      <c r="L162" s="95"/>
      <c r="M162" s="95"/>
      <c r="N162" s="95"/>
      <c r="O162" s="95"/>
      <c r="P162" s="95"/>
      <c r="Q162" s="95"/>
      <c r="R162" s="95"/>
      <c r="S162" s="95"/>
      <c r="T162" s="95"/>
      <c r="U162" s="95"/>
      <c r="V162" s="95"/>
      <c r="W162" s="95"/>
      <c r="X162" s="95"/>
      <c r="Y162" s="95"/>
    </row>
    <row r="163" ht="15.75" customHeight="1">
      <c r="A163" s="95"/>
      <c r="B163" s="95"/>
      <c r="C163" s="95"/>
      <c r="D163" s="163"/>
      <c r="E163" s="163"/>
      <c r="F163" s="95"/>
      <c r="G163" s="95"/>
      <c r="H163" s="95"/>
      <c r="I163" s="95"/>
      <c r="J163" s="95"/>
      <c r="K163" s="95"/>
      <c r="L163" s="95"/>
      <c r="M163" s="95"/>
      <c r="N163" s="95"/>
      <c r="O163" s="95"/>
      <c r="P163" s="95"/>
      <c r="Q163" s="95"/>
      <c r="R163" s="95"/>
      <c r="S163" s="95"/>
      <c r="T163" s="95"/>
      <c r="U163" s="95"/>
      <c r="V163" s="95"/>
      <c r="W163" s="95"/>
      <c r="X163" s="95"/>
      <c r="Y163" s="95"/>
    </row>
    <row r="164" ht="15.75" customHeight="1">
      <c r="A164" s="95"/>
      <c r="B164" s="95"/>
      <c r="C164" s="95"/>
      <c r="D164" s="163"/>
      <c r="E164" s="163"/>
      <c r="F164" s="95"/>
      <c r="G164" s="95"/>
      <c r="H164" s="95"/>
      <c r="I164" s="95"/>
      <c r="J164" s="95"/>
      <c r="K164" s="95"/>
      <c r="L164" s="95"/>
      <c r="M164" s="95"/>
      <c r="N164" s="95"/>
      <c r="O164" s="95"/>
      <c r="P164" s="95"/>
      <c r="Q164" s="95"/>
      <c r="R164" s="95"/>
      <c r="S164" s="95"/>
      <c r="T164" s="95"/>
      <c r="U164" s="95"/>
      <c r="V164" s="95"/>
      <c r="W164" s="95"/>
      <c r="X164" s="95"/>
      <c r="Y164" s="95"/>
    </row>
    <row r="165" ht="15.75" customHeight="1">
      <c r="A165" s="95"/>
      <c r="B165" s="95"/>
      <c r="C165" s="95"/>
      <c r="D165" s="163"/>
      <c r="E165" s="163"/>
      <c r="F165" s="95"/>
      <c r="G165" s="95"/>
      <c r="H165" s="95"/>
      <c r="I165" s="95"/>
      <c r="J165" s="95"/>
      <c r="K165" s="95"/>
      <c r="L165" s="95"/>
      <c r="M165" s="95"/>
      <c r="N165" s="95"/>
      <c r="O165" s="95"/>
      <c r="P165" s="95"/>
      <c r="Q165" s="95"/>
      <c r="R165" s="95"/>
      <c r="S165" s="95"/>
      <c r="T165" s="95"/>
      <c r="U165" s="95"/>
      <c r="V165" s="95"/>
      <c r="W165" s="95"/>
      <c r="X165" s="95"/>
      <c r="Y165" s="95"/>
    </row>
    <row r="166" ht="15.75" customHeight="1">
      <c r="A166" s="95"/>
      <c r="B166" s="95"/>
      <c r="C166" s="95"/>
      <c r="D166" s="163"/>
      <c r="E166" s="163"/>
      <c r="F166" s="95"/>
      <c r="G166" s="95"/>
      <c r="H166" s="95"/>
      <c r="I166" s="95"/>
      <c r="J166" s="95"/>
      <c r="K166" s="95"/>
      <c r="L166" s="95"/>
      <c r="M166" s="95"/>
      <c r="N166" s="95"/>
      <c r="O166" s="95"/>
      <c r="P166" s="95"/>
      <c r="Q166" s="95"/>
      <c r="R166" s="95"/>
      <c r="S166" s="95"/>
      <c r="T166" s="95"/>
      <c r="U166" s="95"/>
      <c r="V166" s="95"/>
      <c r="W166" s="95"/>
      <c r="X166" s="95"/>
      <c r="Y166" s="95"/>
    </row>
    <row r="167" ht="15.75" customHeight="1">
      <c r="A167" s="95"/>
      <c r="B167" s="95"/>
      <c r="C167" s="95"/>
      <c r="D167" s="163"/>
      <c r="E167" s="163"/>
      <c r="F167" s="95"/>
      <c r="G167" s="95"/>
      <c r="H167" s="95"/>
      <c r="I167" s="95"/>
      <c r="J167" s="95"/>
      <c r="K167" s="95"/>
      <c r="L167" s="95"/>
      <c r="M167" s="95"/>
      <c r="N167" s="95"/>
      <c r="O167" s="95"/>
      <c r="P167" s="95"/>
      <c r="Q167" s="95"/>
      <c r="R167" s="95"/>
      <c r="S167" s="95"/>
      <c r="T167" s="95"/>
      <c r="U167" s="95"/>
      <c r="V167" s="95"/>
      <c r="W167" s="95"/>
      <c r="X167" s="95"/>
      <c r="Y167" s="95"/>
    </row>
    <row r="168" ht="15.75" customHeight="1">
      <c r="A168" s="95"/>
      <c r="B168" s="95"/>
      <c r="C168" s="95"/>
      <c r="D168" s="163"/>
      <c r="E168" s="163"/>
      <c r="F168" s="95"/>
      <c r="G168" s="95"/>
      <c r="H168" s="95"/>
      <c r="I168" s="95"/>
      <c r="J168" s="95"/>
      <c r="K168" s="95"/>
      <c r="L168" s="95"/>
      <c r="M168" s="95"/>
      <c r="N168" s="95"/>
      <c r="O168" s="95"/>
      <c r="P168" s="95"/>
      <c r="Q168" s="95"/>
      <c r="R168" s="95"/>
      <c r="S168" s="95"/>
      <c r="T168" s="95"/>
      <c r="U168" s="95"/>
      <c r="V168" s="95"/>
      <c r="W168" s="95"/>
      <c r="X168" s="95"/>
      <c r="Y168" s="95"/>
    </row>
    <row r="169" ht="15.75" customHeight="1">
      <c r="A169" s="95"/>
      <c r="B169" s="95"/>
      <c r="C169" s="95"/>
      <c r="D169" s="163"/>
      <c r="E169" s="163"/>
      <c r="F169" s="95"/>
      <c r="G169" s="95"/>
      <c r="H169" s="95"/>
      <c r="I169" s="95"/>
      <c r="J169" s="95"/>
      <c r="K169" s="95"/>
      <c r="L169" s="95"/>
      <c r="M169" s="95"/>
      <c r="N169" s="95"/>
      <c r="O169" s="95"/>
      <c r="P169" s="95"/>
      <c r="Q169" s="95"/>
      <c r="R169" s="95"/>
      <c r="S169" s="95"/>
      <c r="T169" s="95"/>
      <c r="U169" s="95"/>
      <c r="V169" s="95"/>
      <c r="W169" s="95"/>
      <c r="X169" s="95"/>
      <c r="Y169" s="95"/>
    </row>
    <row r="170" ht="15.75" customHeight="1">
      <c r="A170" s="95"/>
      <c r="B170" s="95"/>
      <c r="C170" s="95"/>
      <c r="D170" s="163"/>
      <c r="E170" s="163"/>
      <c r="F170" s="95"/>
      <c r="G170" s="95"/>
      <c r="H170" s="95"/>
      <c r="I170" s="95"/>
      <c r="J170" s="95"/>
      <c r="K170" s="95"/>
      <c r="L170" s="95"/>
      <c r="M170" s="95"/>
      <c r="N170" s="95"/>
      <c r="O170" s="95"/>
      <c r="P170" s="95"/>
      <c r="Q170" s="95"/>
      <c r="R170" s="95"/>
      <c r="S170" s="95"/>
      <c r="T170" s="95"/>
      <c r="U170" s="95"/>
      <c r="V170" s="95"/>
      <c r="W170" s="95"/>
      <c r="X170" s="95"/>
      <c r="Y170" s="95"/>
    </row>
    <row r="171" ht="15.75" customHeight="1">
      <c r="A171" s="95"/>
      <c r="B171" s="95"/>
      <c r="C171" s="95"/>
      <c r="D171" s="163"/>
      <c r="E171" s="163"/>
      <c r="F171" s="95"/>
      <c r="G171" s="95"/>
      <c r="H171" s="95"/>
      <c r="I171" s="95"/>
      <c r="J171" s="95"/>
      <c r="K171" s="95"/>
      <c r="L171" s="95"/>
      <c r="M171" s="95"/>
      <c r="N171" s="95"/>
      <c r="O171" s="95"/>
      <c r="P171" s="95"/>
      <c r="Q171" s="95"/>
      <c r="R171" s="95"/>
      <c r="S171" s="95"/>
      <c r="T171" s="95"/>
      <c r="U171" s="95"/>
      <c r="V171" s="95"/>
      <c r="W171" s="95"/>
      <c r="X171" s="95"/>
      <c r="Y171" s="95"/>
    </row>
    <row r="172" ht="15.75" customHeight="1">
      <c r="A172" s="95"/>
      <c r="B172" s="95"/>
      <c r="C172" s="95"/>
      <c r="D172" s="163"/>
      <c r="E172" s="163"/>
      <c r="F172" s="95"/>
      <c r="G172" s="95"/>
      <c r="H172" s="95"/>
      <c r="I172" s="95"/>
      <c r="J172" s="95"/>
      <c r="K172" s="95"/>
      <c r="L172" s="95"/>
      <c r="M172" s="95"/>
      <c r="N172" s="95"/>
      <c r="O172" s="95"/>
      <c r="P172" s="95"/>
      <c r="Q172" s="95"/>
      <c r="R172" s="95"/>
      <c r="S172" s="95"/>
      <c r="T172" s="95"/>
      <c r="U172" s="95"/>
      <c r="V172" s="95"/>
      <c r="W172" s="95"/>
      <c r="X172" s="95"/>
      <c r="Y172" s="95"/>
    </row>
    <row r="173" ht="15.75" customHeight="1">
      <c r="A173" s="95"/>
      <c r="B173" s="95"/>
      <c r="C173" s="95"/>
      <c r="D173" s="163"/>
      <c r="E173" s="163"/>
      <c r="F173" s="95"/>
      <c r="G173" s="95"/>
      <c r="H173" s="95"/>
      <c r="I173" s="95"/>
      <c r="J173" s="95"/>
      <c r="K173" s="95"/>
      <c r="L173" s="95"/>
      <c r="M173" s="95"/>
      <c r="N173" s="95"/>
      <c r="O173" s="95"/>
      <c r="P173" s="95"/>
      <c r="Q173" s="95"/>
      <c r="R173" s="95"/>
      <c r="S173" s="95"/>
      <c r="T173" s="95"/>
      <c r="U173" s="95"/>
      <c r="V173" s="95"/>
      <c r="W173" s="95"/>
      <c r="X173" s="95"/>
      <c r="Y173" s="95"/>
    </row>
    <row r="174" ht="15.75" customHeight="1">
      <c r="A174" s="95"/>
      <c r="B174" s="95"/>
      <c r="C174" s="95"/>
      <c r="D174" s="163"/>
      <c r="E174" s="163"/>
      <c r="F174" s="95"/>
      <c r="G174" s="95"/>
      <c r="H174" s="95"/>
      <c r="I174" s="95"/>
      <c r="J174" s="95"/>
      <c r="K174" s="95"/>
      <c r="L174" s="95"/>
      <c r="M174" s="95"/>
      <c r="N174" s="95"/>
      <c r="O174" s="95"/>
      <c r="P174" s="95"/>
      <c r="Q174" s="95"/>
      <c r="R174" s="95"/>
      <c r="S174" s="95"/>
      <c r="T174" s="95"/>
      <c r="U174" s="95"/>
      <c r="V174" s="95"/>
      <c r="W174" s="95"/>
      <c r="X174" s="95"/>
      <c r="Y174" s="95"/>
    </row>
    <row r="175" ht="15.75" customHeight="1">
      <c r="A175" s="95"/>
      <c r="B175" s="95"/>
      <c r="C175" s="95"/>
      <c r="D175" s="163"/>
      <c r="E175" s="163"/>
      <c r="F175" s="95"/>
      <c r="G175" s="95"/>
      <c r="H175" s="95"/>
      <c r="I175" s="95"/>
      <c r="J175" s="95"/>
      <c r="K175" s="95"/>
      <c r="L175" s="95"/>
      <c r="M175" s="95"/>
      <c r="N175" s="95"/>
      <c r="O175" s="95"/>
      <c r="P175" s="95"/>
      <c r="Q175" s="95"/>
      <c r="R175" s="95"/>
      <c r="S175" s="95"/>
      <c r="T175" s="95"/>
      <c r="U175" s="95"/>
      <c r="V175" s="95"/>
      <c r="W175" s="95"/>
      <c r="X175" s="95"/>
      <c r="Y175" s="95"/>
    </row>
    <row r="176" ht="15.75" customHeight="1">
      <c r="A176" s="95"/>
      <c r="B176" s="95"/>
      <c r="C176" s="95"/>
      <c r="D176" s="163"/>
      <c r="E176" s="163"/>
      <c r="F176" s="95"/>
      <c r="G176" s="95"/>
      <c r="H176" s="95"/>
      <c r="I176" s="95"/>
      <c r="J176" s="95"/>
      <c r="K176" s="95"/>
      <c r="L176" s="95"/>
      <c r="M176" s="95"/>
      <c r="N176" s="95"/>
      <c r="O176" s="95"/>
      <c r="P176" s="95"/>
      <c r="Q176" s="95"/>
      <c r="R176" s="95"/>
      <c r="S176" s="95"/>
      <c r="T176" s="95"/>
      <c r="U176" s="95"/>
      <c r="V176" s="95"/>
      <c r="W176" s="95"/>
      <c r="X176" s="95"/>
      <c r="Y176" s="95"/>
    </row>
    <row r="177" ht="15.75" customHeight="1">
      <c r="A177" s="95"/>
      <c r="B177" s="95"/>
      <c r="C177" s="95"/>
      <c r="D177" s="163"/>
      <c r="E177" s="163"/>
      <c r="F177" s="95"/>
      <c r="G177" s="95"/>
      <c r="H177" s="95"/>
      <c r="I177" s="95"/>
      <c r="J177" s="95"/>
      <c r="K177" s="95"/>
      <c r="L177" s="95"/>
      <c r="M177" s="95"/>
      <c r="N177" s="95"/>
      <c r="O177" s="95"/>
      <c r="P177" s="95"/>
      <c r="Q177" s="95"/>
      <c r="R177" s="95"/>
      <c r="S177" s="95"/>
      <c r="T177" s="95"/>
      <c r="U177" s="95"/>
      <c r="V177" s="95"/>
      <c r="W177" s="95"/>
      <c r="X177" s="95"/>
      <c r="Y177" s="95"/>
    </row>
    <row r="178" ht="15.75" customHeight="1">
      <c r="A178" s="95"/>
      <c r="B178" s="95"/>
      <c r="C178" s="95"/>
      <c r="D178" s="163"/>
      <c r="E178" s="163"/>
      <c r="F178" s="95"/>
      <c r="G178" s="95"/>
      <c r="H178" s="95"/>
      <c r="I178" s="95"/>
      <c r="J178" s="95"/>
      <c r="K178" s="95"/>
      <c r="L178" s="95"/>
      <c r="M178" s="95"/>
      <c r="N178" s="95"/>
      <c r="O178" s="95"/>
      <c r="P178" s="95"/>
      <c r="Q178" s="95"/>
      <c r="R178" s="95"/>
      <c r="S178" s="95"/>
      <c r="T178" s="95"/>
      <c r="U178" s="95"/>
      <c r="V178" s="95"/>
      <c r="W178" s="95"/>
      <c r="X178" s="95"/>
      <c r="Y178" s="95"/>
    </row>
    <row r="179" ht="15.75" customHeight="1">
      <c r="A179" s="95"/>
      <c r="B179" s="95"/>
      <c r="C179" s="95"/>
      <c r="D179" s="163"/>
      <c r="E179" s="163"/>
      <c r="F179" s="95"/>
      <c r="G179" s="95"/>
      <c r="H179" s="95"/>
      <c r="I179" s="95"/>
      <c r="J179" s="95"/>
      <c r="K179" s="95"/>
      <c r="L179" s="95"/>
      <c r="M179" s="95"/>
      <c r="N179" s="95"/>
      <c r="O179" s="95"/>
      <c r="P179" s="95"/>
      <c r="Q179" s="95"/>
      <c r="R179" s="95"/>
      <c r="S179" s="95"/>
      <c r="T179" s="95"/>
      <c r="U179" s="95"/>
      <c r="V179" s="95"/>
      <c r="W179" s="95"/>
      <c r="X179" s="95"/>
      <c r="Y179" s="95"/>
    </row>
    <row r="180" ht="15.75" customHeight="1">
      <c r="A180" s="95"/>
      <c r="B180" s="95"/>
      <c r="C180" s="95"/>
      <c r="D180" s="163"/>
      <c r="E180" s="163"/>
      <c r="F180" s="95"/>
      <c r="G180" s="95"/>
      <c r="H180" s="95"/>
      <c r="I180" s="95"/>
      <c r="J180" s="95"/>
      <c r="K180" s="95"/>
      <c r="L180" s="95"/>
      <c r="M180" s="95"/>
      <c r="N180" s="95"/>
      <c r="O180" s="95"/>
      <c r="P180" s="95"/>
      <c r="Q180" s="95"/>
      <c r="R180" s="95"/>
      <c r="S180" s="95"/>
      <c r="T180" s="95"/>
      <c r="U180" s="95"/>
      <c r="V180" s="95"/>
      <c r="W180" s="95"/>
      <c r="X180" s="95"/>
      <c r="Y180" s="95"/>
    </row>
    <row r="181" ht="15.75" customHeight="1">
      <c r="A181" s="95"/>
      <c r="B181" s="95"/>
      <c r="C181" s="95"/>
      <c r="D181" s="163"/>
      <c r="E181" s="163"/>
      <c r="F181" s="95"/>
      <c r="G181" s="95"/>
      <c r="H181" s="95"/>
      <c r="I181" s="95"/>
      <c r="J181" s="95"/>
      <c r="K181" s="95"/>
      <c r="L181" s="95"/>
      <c r="M181" s="95"/>
      <c r="N181" s="95"/>
      <c r="O181" s="95"/>
      <c r="P181" s="95"/>
      <c r="Q181" s="95"/>
      <c r="R181" s="95"/>
      <c r="S181" s="95"/>
      <c r="T181" s="95"/>
      <c r="U181" s="95"/>
      <c r="V181" s="95"/>
      <c r="W181" s="95"/>
      <c r="X181" s="95"/>
      <c r="Y181" s="95"/>
    </row>
    <row r="182" ht="15.75" customHeight="1">
      <c r="A182" s="95"/>
      <c r="B182" s="95"/>
      <c r="C182" s="95"/>
      <c r="D182" s="163"/>
      <c r="E182" s="163"/>
      <c r="F182" s="95"/>
      <c r="G182" s="95"/>
      <c r="H182" s="95"/>
      <c r="I182" s="95"/>
      <c r="J182" s="95"/>
      <c r="K182" s="95"/>
      <c r="L182" s="95"/>
      <c r="M182" s="95"/>
      <c r="N182" s="95"/>
      <c r="O182" s="95"/>
      <c r="P182" s="95"/>
      <c r="Q182" s="95"/>
      <c r="R182" s="95"/>
      <c r="S182" s="95"/>
      <c r="T182" s="95"/>
      <c r="U182" s="95"/>
      <c r="V182" s="95"/>
      <c r="W182" s="95"/>
      <c r="X182" s="95"/>
      <c r="Y182" s="95"/>
    </row>
    <row r="183" ht="15.75" customHeight="1">
      <c r="A183" s="95"/>
      <c r="B183" s="95"/>
      <c r="C183" s="95"/>
      <c r="D183" s="163"/>
      <c r="E183" s="163"/>
      <c r="F183" s="95"/>
      <c r="G183" s="95"/>
      <c r="H183" s="95"/>
      <c r="I183" s="95"/>
      <c r="J183" s="95"/>
      <c r="K183" s="95"/>
      <c r="L183" s="95"/>
      <c r="M183" s="95"/>
      <c r="N183" s="95"/>
      <c r="O183" s="95"/>
      <c r="P183" s="95"/>
      <c r="Q183" s="95"/>
      <c r="R183" s="95"/>
      <c r="S183" s="95"/>
      <c r="T183" s="95"/>
      <c r="U183" s="95"/>
      <c r="V183" s="95"/>
      <c r="W183" s="95"/>
      <c r="X183" s="95"/>
      <c r="Y183" s="95"/>
    </row>
    <row r="184" ht="15.75" customHeight="1">
      <c r="A184" s="95"/>
      <c r="B184" s="95"/>
      <c r="C184" s="95"/>
      <c r="D184" s="163"/>
      <c r="E184" s="163"/>
      <c r="F184" s="95"/>
      <c r="G184" s="95"/>
      <c r="H184" s="95"/>
      <c r="I184" s="95"/>
      <c r="J184" s="95"/>
      <c r="K184" s="95"/>
      <c r="L184" s="95"/>
      <c r="M184" s="95"/>
      <c r="N184" s="95"/>
      <c r="O184" s="95"/>
      <c r="P184" s="95"/>
      <c r="Q184" s="95"/>
      <c r="R184" s="95"/>
      <c r="S184" s="95"/>
      <c r="T184" s="95"/>
      <c r="U184" s="95"/>
      <c r="V184" s="95"/>
      <c r="W184" s="95"/>
      <c r="X184" s="95"/>
      <c r="Y184" s="95"/>
    </row>
    <row r="185" ht="15.75" customHeight="1">
      <c r="A185" s="95"/>
      <c r="B185" s="95"/>
      <c r="C185" s="95"/>
      <c r="D185" s="163"/>
      <c r="E185" s="163"/>
      <c r="F185" s="95"/>
      <c r="G185" s="95"/>
      <c r="H185" s="95"/>
      <c r="I185" s="95"/>
      <c r="J185" s="95"/>
      <c r="K185" s="95"/>
      <c r="L185" s="95"/>
      <c r="M185" s="95"/>
      <c r="N185" s="95"/>
      <c r="O185" s="95"/>
      <c r="P185" s="95"/>
      <c r="Q185" s="95"/>
      <c r="R185" s="95"/>
      <c r="S185" s="95"/>
      <c r="T185" s="95"/>
      <c r="U185" s="95"/>
      <c r="V185" s="95"/>
      <c r="W185" s="95"/>
      <c r="X185" s="95"/>
      <c r="Y185" s="95"/>
    </row>
    <row r="186" ht="15.75" customHeight="1">
      <c r="A186" s="95"/>
      <c r="B186" s="95"/>
      <c r="C186" s="95"/>
      <c r="D186" s="163"/>
      <c r="E186" s="163"/>
      <c r="F186" s="95"/>
      <c r="G186" s="95"/>
      <c r="H186" s="95"/>
      <c r="I186" s="95"/>
      <c r="J186" s="95"/>
      <c r="K186" s="95"/>
      <c r="L186" s="95"/>
      <c r="M186" s="95"/>
      <c r="N186" s="95"/>
      <c r="O186" s="95"/>
      <c r="P186" s="95"/>
      <c r="Q186" s="95"/>
      <c r="R186" s="95"/>
      <c r="S186" s="95"/>
      <c r="T186" s="95"/>
      <c r="U186" s="95"/>
      <c r="V186" s="95"/>
      <c r="W186" s="95"/>
      <c r="X186" s="95"/>
      <c r="Y186" s="95"/>
    </row>
    <row r="187" ht="15.75" customHeight="1">
      <c r="A187" s="95"/>
      <c r="B187" s="95"/>
      <c r="C187" s="95"/>
      <c r="D187" s="163"/>
      <c r="E187" s="163"/>
      <c r="F187" s="95"/>
      <c r="G187" s="95"/>
      <c r="H187" s="95"/>
      <c r="I187" s="95"/>
      <c r="J187" s="95"/>
      <c r="K187" s="95"/>
      <c r="L187" s="95"/>
      <c r="M187" s="95"/>
      <c r="N187" s="95"/>
      <c r="O187" s="95"/>
      <c r="P187" s="95"/>
      <c r="Q187" s="95"/>
      <c r="R187" s="95"/>
      <c r="S187" s="95"/>
      <c r="T187" s="95"/>
      <c r="U187" s="95"/>
      <c r="V187" s="95"/>
      <c r="W187" s="95"/>
      <c r="X187" s="95"/>
      <c r="Y187" s="95"/>
    </row>
    <row r="188" ht="15.75" customHeight="1">
      <c r="A188" s="95"/>
      <c r="B188" s="95"/>
      <c r="C188" s="95"/>
      <c r="D188" s="163"/>
      <c r="E188" s="163"/>
      <c r="F188" s="95"/>
      <c r="G188" s="95"/>
      <c r="H188" s="95"/>
      <c r="I188" s="95"/>
      <c r="J188" s="95"/>
      <c r="K188" s="95"/>
      <c r="L188" s="95"/>
      <c r="M188" s="95"/>
      <c r="N188" s="95"/>
      <c r="O188" s="95"/>
      <c r="P188" s="95"/>
      <c r="Q188" s="95"/>
      <c r="R188" s="95"/>
      <c r="S188" s="95"/>
      <c r="T188" s="95"/>
      <c r="U188" s="95"/>
      <c r="V188" s="95"/>
      <c r="W188" s="95"/>
      <c r="X188" s="95"/>
      <c r="Y188" s="95"/>
    </row>
    <row r="189" ht="15.75" customHeight="1">
      <c r="A189" s="95"/>
      <c r="B189" s="95"/>
      <c r="C189" s="95"/>
      <c r="D189" s="163"/>
      <c r="E189" s="163"/>
      <c r="F189" s="95"/>
      <c r="G189" s="95"/>
      <c r="H189" s="95"/>
      <c r="I189" s="95"/>
      <c r="J189" s="95"/>
      <c r="K189" s="95"/>
      <c r="L189" s="95"/>
      <c r="M189" s="95"/>
      <c r="N189" s="95"/>
      <c r="O189" s="95"/>
      <c r="P189" s="95"/>
      <c r="Q189" s="95"/>
      <c r="R189" s="95"/>
      <c r="S189" s="95"/>
      <c r="T189" s="95"/>
      <c r="U189" s="95"/>
      <c r="V189" s="95"/>
      <c r="W189" s="95"/>
      <c r="X189" s="95"/>
      <c r="Y189" s="95"/>
    </row>
    <row r="190" ht="15.75" customHeight="1">
      <c r="A190" s="95"/>
      <c r="B190" s="95"/>
      <c r="C190" s="95"/>
      <c r="D190" s="163"/>
      <c r="E190" s="163"/>
      <c r="F190" s="95"/>
      <c r="G190" s="95"/>
      <c r="H190" s="95"/>
      <c r="I190" s="95"/>
      <c r="J190" s="95"/>
      <c r="K190" s="95"/>
      <c r="L190" s="95"/>
      <c r="M190" s="95"/>
      <c r="N190" s="95"/>
      <c r="O190" s="95"/>
      <c r="P190" s="95"/>
      <c r="Q190" s="95"/>
      <c r="R190" s="95"/>
      <c r="S190" s="95"/>
      <c r="T190" s="95"/>
      <c r="U190" s="95"/>
      <c r="V190" s="95"/>
      <c r="W190" s="95"/>
      <c r="X190" s="95"/>
      <c r="Y190" s="95"/>
    </row>
    <row r="191" ht="15.75" customHeight="1">
      <c r="A191" s="95"/>
      <c r="B191" s="95"/>
      <c r="C191" s="95"/>
      <c r="D191" s="163"/>
      <c r="E191" s="163"/>
      <c r="F191" s="95"/>
      <c r="G191" s="95"/>
      <c r="H191" s="95"/>
      <c r="I191" s="95"/>
      <c r="J191" s="95"/>
      <c r="K191" s="95"/>
      <c r="L191" s="95"/>
      <c r="M191" s="95"/>
      <c r="N191" s="95"/>
      <c r="O191" s="95"/>
      <c r="P191" s="95"/>
      <c r="Q191" s="95"/>
      <c r="R191" s="95"/>
      <c r="S191" s="95"/>
      <c r="T191" s="95"/>
      <c r="U191" s="95"/>
      <c r="V191" s="95"/>
      <c r="W191" s="95"/>
      <c r="X191" s="95"/>
      <c r="Y191" s="95"/>
    </row>
    <row r="192" ht="15.75" customHeight="1">
      <c r="A192" s="95"/>
      <c r="B192" s="95"/>
      <c r="C192" s="95"/>
      <c r="D192" s="163"/>
      <c r="E192" s="163"/>
      <c r="F192" s="95"/>
      <c r="G192" s="95"/>
      <c r="H192" s="95"/>
      <c r="I192" s="95"/>
      <c r="J192" s="95"/>
      <c r="K192" s="95"/>
      <c r="L192" s="95"/>
      <c r="M192" s="95"/>
      <c r="N192" s="95"/>
      <c r="O192" s="95"/>
      <c r="P192" s="95"/>
      <c r="Q192" s="95"/>
      <c r="R192" s="95"/>
      <c r="S192" s="95"/>
      <c r="T192" s="95"/>
      <c r="U192" s="95"/>
      <c r="V192" s="95"/>
      <c r="W192" s="95"/>
      <c r="X192" s="95"/>
      <c r="Y192" s="95"/>
    </row>
    <row r="193" ht="15.75" customHeight="1">
      <c r="A193" s="95"/>
      <c r="B193" s="95"/>
      <c r="C193" s="95"/>
      <c r="D193" s="163"/>
      <c r="E193" s="163"/>
      <c r="F193" s="95"/>
      <c r="G193" s="95"/>
      <c r="H193" s="95"/>
      <c r="I193" s="95"/>
      <c r="J193" s="95"/>
      <c r="K193" s="95"/>
      <c r="L193" s="95"/>
      <c r="M193" s="95"/>
      <c r="N193" s="95"/>
      <c r="O193" s="95"/>
      <c r="P193" s="95"/>
      <c r="Q193" s="95"/>
      <c r="R193" s="95"/>
      <c r="S193" s="95"/>
      <c r="T193" s="95"/>
      <c r="U193" s="95"/>
      <c r="V193" s="95"/>
      <c r="W193" s="95"/>
      <c r="X193" s="95"/>
      <c r="Y193" s="95"/>
    </row>
    <row r="194" ht="15.75" customHeight="1">
      <c r="A194" s="95"/>
      <c r="B194" s="95"/>
      <c r="C194" s="95"/>
      <c r="D194" s="163"/>
      <c r="E194" s="163"/>
      <c r="F194" s="95"/>
      <c r="G194" s="95"/>
      <c r="H194" s="95"/>
      <c r="I194" s="95"/>
      <c r="J194" s="95"/>
      <c r="K194" s="95"/>
      <c r="L194" s="95"/>
      <c r="M194" s="95"/>
      <c r="N194" s="95"/>
      <c r="O194" s="95"/>
      <c r="P194" s="95"/>
      <c r="Q194" s="95"/>
      <c r="R194" s="95"/>
      <c r="S194" s="95"/>
      <c r="T194" s="95"/>
      <c r="U194" s="95"/>
      <c r="V194" s="95"/>
      <c r="W194" s="95"/>
      <c r="X194" s="95"/>
      <c r="Y194" s="95"/>
    </row>
    <row r="195" ht="15.75" customHeight="1">
      <c r="A195" s="95"/>
      <c r="B195" s="95"/>
      <c r="C195" s="95"/>
      <c r="D195" s="163"/>
      <c r="E195" s="163"/>
      <c r="F195" s="95"/>
      <c r="G195" s="95"/>
      <c r="H195" s="95"/>
      <c r="I195" s="95"/>
      <c r="J195" s="95"/>
      <c r="K195" s="95"/>
      <c r="L195" s="95"/>
      <c r="M195" s="95"/>
      <c r="N195" s="95"/>
      <c r="O195" s="95"/>
      <c r="P195" s="95"/>
      <c r="Q195" s="95"/>
      <c r="R195" s="95"/>
      <c r="S195" s="95"/>
      <c r="T195" s="95"/>
      <c r="U195" s="95"/>
      <c r="V195" s="95"/>
      <c r="W195" s="95"/>
      <c r="X195" s="95"/>
      <c r="Y195" s="95"/>
    </row>
    <row r="196" ht="15.75" customHeight="1">
      <c r="A196" s="95"/>
      <c r="B196" s="95"/>
      <c r="C196" s="95"/>
      <c r="D196" s="163"/>
      <c r="E196" s="163"/>
      <c r="F196" s="95"/>
      <c r="G196" s="95"/>
      <c r="H196" s="95"/>
      <c r="I196" s="95"/>
      <c r="J196" s="95"/>
      <c r="K196" s="95"/>
      <c r="L196" s="95"/>
      <c r="M196" s="95"/>
      <c r="N196" s="95"/>
      <c r="O196" s="95"/>
      <c r="P196" s="95"/>
      <c r="Q196" s="95"/>
      <c r="R196" s="95"/>
      <c r="S196" s="95"/>
      <c r="T196" s="95"/>
      <c r="U196" s="95"/>
      <c r="V196" s="95"/>
      <c r="W196" s="95"/>
      <c r="X196" s="95"/>
      <c r="Y196" s="95"/>
    </row>
    <row r="197" ht="15.75" customHeight="1">
      <c r="A197" s="95"/>
      <c r="B197" s="95"/>
      <c r="C197" s="95"/>
      <c r="D197" s="163"/>
      <c r="E197" s="163"/>
      <c r="F197" s="95"/>
      <c r="G197" s="95"/>
      <c r="H197" s="95"/>
      <c r="I197" s="95"/>
      <c r="J197" s="95"/>
      <c r="K197" s="95"/>
      <c r="L197" s="95"/>
      <c r="M197" s="95"/>
      <c r="N197" s="95"/>
      <c r="O197" s="95"/>
      <c r="P197" s="95"/>
      <c r="Q197" s="95"/>
      <c r="R197" s="95"/>
      <c r="S197" s="95"/>
      <c r="T197" s="95"/>
      <c r="U197" s="95"/>
      <c r="V197" s="95"/>
      <c r="W197" s="95"/>
      <c r="X197" s="95"/>
      <c r="Y197" s="95"/>
    </row>
    <row r="198" ht="15.75" customHeight="1">
      <c r="A198" s="95"/>
      <c r="B198" s="95"/>
      <c r="C198" s="95"/>
      <c r="D198" s="163"/>
      <c r="E198" s="163"/>
      <c r="F198" s="95"/>
      <c r="G198" s="95"/>
      <c r="H198" s="95"/>
      <c r="I198" s="95"/>
      <c r="J198" s="95"/>
      <c r="K198" s="95"/>
      <c r="L198" s="95"/>
      <c r="M198" s="95"/>
      <c r="N198" s="95"/>
      <c r="O198" s="95"/>
      <c r="P198" s="95"/>
      <c r="Q198" s="95"/>
      <c r="R198" s="95"/>
      <c r="S198" s="95"/>
      <c r="T198" s="95"/>
      <c r="U198" s="95"/>
      <c r="V198" s="95"/>
      <c r="W198" s="95"/>
      <c r="X198" s="95"/>
      <c r="Y198" s="95"/>
    </row>
    <row r="199" ht="15.75" customHeight="1">
      <c r="A199" s="95"/>
      <c r="B199" s="95"/>
      <c r="C199" s="95"/>
      <c r="D199" s="163"/>
      <c r="E199" s="163"/>
      <c r="F199" s="95"/>
      <c r="G199" s="95"/>
      <c r="H199" s="95"/>
      <c r="I199" s="95"/>
      <c r="J199" s="95"/>
      <c r="K199" s="95"/>
      <c r="L199" s="95"/>
      <c r="M199" s="95"/>
      <c r="N199" s="95"/>
      <c r="O199" s="95"/>
      <c r="P199" s="95"/>
      <c r="Q199" s="95"/>
      <c r="R199" s="95"/>
      <c r="S199" s="95"/>
      <c r="T199" s="95"/>
      <c r="U199" s="95"/>
      <c r="V199" s="95"/>
      <c r="W199" s="95"/>
      <c r="X199" s="95"/>
      <c r="Y199" s="95"/>
    </row>
    <row r="200" ht="15.75" customHeight="1">
      <c r="A200" s="95"/>
      <c r="B200" s="95"/>
      <c r="C200" s="95"/>
      <c r="D200" s="163"/>
      <c r="E200" s="163"/>
      <c r="F200" s="95"/>
      <c r="G200" s="95"/>
      <c r="H200" s="95"/>
      <c r="I200" s="95"/>
      <c r="J200" s="95"/>
      <c r="K200" s="95"/>
      <c r="L200" s="95"/>
      <c r="M200" s="95"/>
      <c r="N200" s="95"/>
      <c r="O200" s="95"/>
      <c r="P200" s="95"/>
      <c r="Q200" s="95"/>
      <c r="R200" s="95"/>
      <c r="S200" s="95"/>
      <c r="T200" s="95"/>
      <c r="U200" s="95"/>
      <c r="V200" s="95"/>
      <c r="W200" s="95"/>
      <c r="X200" s="95"/>
      <c r="Y200" s="95"/>
    </row>
    <row r="201" ht="15.75" customHeight="1">
      <c r="A201" s="95"/>
      <c r="B201" s="95"/>
      <c r="C201" s="95"/>
      <c r="D201" s="163"/>
      <c r="E201" s="163"/>
      <c r="F201" s="95"/>
      <c r="G201" s="95"/>
      <c r="H201" s="95"/>
      <c r="I201" s="95"/>
      <c r="J201" s="95"/>
      <c r="K201" s="95"/>
      <c r="L201" s="95"/>
      <c r="M201" s="95"/>
      <c r="N201" s="95"/>
      <c r="O201" s="95"/>
      <c r="P201" s="95"/>
      <c r="Q201" s="95"/>
      <c r="R201" s="95"/>
      <c r="S201" s="95"/>
      <c r="T201" s="95"/>
      <c r="U201" s="95"/>
      <c r="V201" s="95"/>
      <c r="W201" s="95"/>
      <c r="X201" s="95"/>
      <c r="Y201" s="95"/>
    </row>
    <row r="202" ht="15.75" customHeight="1">
      <c r="A202" s="95"/>
      <c r="B202" s="95"/>
      <c r="C202" s="95"/>
      <c r="D202" s="163"/>
      <c r="E202" s="163"/>
      <c r="F202" s="95"/>
      <c r="G202" s="95"/>
      <c r="H202" s="95"/>
      <c r="I202" s="95"/>
      <c r="J202" s="95"/>
      <c r="K202" s="95"/>
      <c r="L202" s="95"/>
      <c r="M202" s="95"/>
      <c r="N202" s="95"/>
      <c r="O202" s="95"/>
      <c r="P202" s="95"/>
      <c r="Q202" s="95"/>
      <c r="R202" s="95"/>
      <c r="S202" s="95"/>
      <c r="T202" s="95"/>
      <c r="U202" s="95"/>
      <c r="V202" s="95"/>
      <c r="W202" s="95"/>
      <c r="X202" s="95"/>
      <c r="Y202" s="95"/>
    </row>
    <row r="203" ht="15.75" customHeight="1">
      <c r="A203" s="95"/>
      <c r="B203" s="95"/>
      <c r="C203" s="95"/>
      <c r="D203" s="163"/>
      <c r="E203" s="163"/>
      <c r="F203" s="95"/>
      <c r="G203" s="95"/>
      <c r="H203" s="95"/>
      <c r="I203" s="95"/>
      <c r="J203" s="95"/>
      <c r="K203" s="95"/>
      <c r="L203" s="95"/>
      <c r="M203" s="95"/>
      <c r="N203" s="95"/>
      <c r="O203" s="95"/>
      <c r="P203" s="95"/>
      <c r="Q203" s="95"/>
      <c r="R203" s="95"/>
      <c r="S203" s="95"/>
      <c r="T203" s="95"/>
      <c r="U203" s="95"/>
      <c r="V203" s="95"/>
      <c r="W203" s="95"/>
      <c r="X203" s="95"/>
      <c r="Y203" s="95"/>
    </row>
    <row r="204" ht="15.75" customHeight="1">
      <c r="A204" s="95"/>
      <c r="B204" s="95"/>
      <c r="C204" s="95"/>
      <c r="D204" s="163"/>
      <c r="E204" s="163"/>
      <c r="F204" s="95"/>
      <c r="G204" s="95"/>
      <c r="H204" s="95"/>
      <c r="I204" s="95"/>
      <c r="J204" s="95"/>
      <c r="K204" s="95"/>
      <c r="L204" s="95"/>
      <c r="M204" s="95"/>
      <c r="N204" s="95"/>
      <c r="O204" s="95"/>
      <c r="P204" s="95"/>
      <c r="Q204" s="95"/>
      <c r="R204" s="95"/>
      <c r="S204" s="95"/>
      <c r="T204" s="95"/>
      <c r="U204" s="95"/>
      <c r="V204" s="95"/>
      <c r="W204" s="95"/>
      <c r="X204" s="95"/>
      <c r="Y204" s="95"/>
    </row>
    <row r="205" ht="15.75" customHeight="1">
      <c r="A205" s="95"/>
      <c r="B205" s="95"/>
      <c r="C205" s="95"/>
      <c r="D205" s="163"/>
      <c r="E205" s="163"/>
      <c r="F205" s="95"/>
      <c r="G205" s="95"/>
      <c r="H205" s="95"/>
      <c r="I205" s="95"/>
      <c r="J205" s="95"/>
      <c r="K205" s="95"/>
      <c r="L205" s="95"/>
      <c r="M205" s="95"/>
      <c r="N205" s="95"/>
      <c r="O205" s="95"/>
      <c r="P205" s="95"/>
      <c r="Q205" s="95"/>
      <c r="R205" s="95"/>
      <c r="S205" s="95"/>
      <c r="T205" s="95"/>
      <c r="U205" s="95"/>
      <c r="V205" s="95"/>
      <c r="W205" s="95"/>
      <c r="X205" s="95"/>
      <c r="Y205" s="95"/>
    </row>
    <row r="206" ht="15.75" customHeight="1">
      <c r="A206" s="95"/>
      <c r="B206" s="95"/>
      <c r="C206" s="95"/>
      <c r="D206" s="163"/>
      <c r="E206" s="163"/>
      <c r="F206" s="95"/>
      <c r="G206" s="95"/>
      <c r="H206" s="95"/>
      <c r="I206" s="95"/>
      <c r="J206" s="95"/>
      <c r="K206" s="95"/>
      <c r="L206" s="95"/>
      <c r="M206" s="95"/>
      <c r="N206" s="95"/>
      <c r="O206" s="95"/>
      <c r="P206" s="95"/>
      <c r="Q206" s="95"/>
      <c r="R206" s="95"/>
      <c r="S206" s="95"/>
      <c r="T206" s="95"/>
      <c r="U206" s="95"/>
      <c r="V206" s="95"/>
      <c r="W206" s="95"/>
      <c r="X206" s="95"/>
      <c r="Y206" s="95"/>
    </row>
    <row r="207" ht="15.75" customHeight="1">
      <c r="A207" s="95"/>
      <c r="B207" s="95"/>
      <c r="C207" s="95"/>
      <c r="D207" s="163"/>
      <c r="E207" s="163"/>
      <c r="F207" s="95"/>
      <c r="G207" s="95"/>
      <c r="H207" s="95"/>
      <c r="I207" s="95"/>
      <c r="J207" s="95"/>
      <c r="K207" s="95"/>
      <c r="L207" s="95"/>
      <c r="M207" s="95"/>
      <c r="N207" s="95"/>
      <c r="O207" s="95"/>
      <c r="P207" s="95"/>
      <c r="Q207" s="95"/>
      <c r="R207" s="95"/>
      <c r="S207" s="95"/>
      <c r="T207" s="95"/>
      <c r="U207" s="95"/>
      <c r="V207" s="95"/>
      <c r="W207" s="95"/>
      <c r="X207" s="95"/>
      <c r="Y207" s="95"/>
    </row>
    <row r="208" ht="15.75" customHeight="1">
      <c r="A208" s="95"/>
      <c r="B208" s="95"/>
      <c r="C208" s="95"/>
      <c r="D208" s="163"/>
      <c r="E208" s="163"/>
      <c r="F208" s="95"/>
      <c r="G208" s="95"/>
      <c r="H208" s="95"/>
      <c r="I208" s="95"/>
      <c r="J208" s="95"/>
      <c r="K208" s="95"/>
      <c r="L208" s="95"/>
      <c r="M208" s="95"/>
      <c r="N208" s="95"/>
      <c r="O208" s="95"/>
      <c r="P208" s="95"/>
      <c r="Q208" s="95"/>
      <c r="R208" s="95"/>
      <c r="S208" s="95"/>
      <c r="T208" s="95"/>
      <c r="U208" s="95"/>
      <c r="V208" s="95"/>
      <c r="W208" s="95"/>
      <c r="X208" s="95"/>
      <c r="Y208" s="95"/>
    </row>
    <row r="209" ht="15.75" customHeight="1">
      <c r="A209" s="95"/>
      <c r="B209" s="95"/>
      <c r="C209" s="95"/>
      <c r="D209" s="163"/>
      <c r="E209" s="163"/>
      <c r="F209" s="95"/>
      <c r="G209" s="95"/>
      <c r="H209" s="95"/>
      <c r="I209" s="95"/>
      <c r="J209" s="95"/>
      <c r="K209" s="95"/>
      <c r="L209" s="95"/>
      <c r="M209" s="95"/>
      <c r="N209" s="95"/>
      <c r="O209" s="95"/>
      <c r="P209" s="95"/>
      <c r="Q209" s="95"/>
      <c r="R209" s="95"/>
      <c r="S209" s="95"/>
      <c r="T209" s="95"/>
      <c r="U209" s="95"/>
      <c r="V209" s="95"/>
      <c r="W209" s="95"/>
      <c r="X209" s="95"/>
      <c r="Y209" s="95"/>
    </row>
    <row r="210" ht="15.75" customHeight="1">
      <c r="A210" s="95"/>
      <c r="B210" s="95"/>
      <c r="C210" s="95"/>
      <c r="D210" s="163"/>
      <c r="E210" s="163"/>
      <c r="F210" s="95"/>
      <c r="G210" s="95"/>
      <c r="H210" s="95"/>
      <c r="I210" s="95"/>
      <c r="J210" s="95"/>
      <c r="K210" s="95"/>
      <c r="L210" s="95"/>
      <c r="M210" s="95"/>
      <c r="N210" s="95"/>
      <c r="O210" s="95"/>
      <c r="P210" s="95"/>
      <c r="Q210" s="95"/>
      <c r="R210" s="95"/>
      <c r="S210" s="95"/>
      <c r="T210" s="95"/>
      <c r="U210" s="95"/>
      <c r="V210" s="95"/>
      <c r="W210" s="95"/>
      <c r="X210" s="95"/>
      <c r="Y210" s="95"/>
    </row>
    <row r="211" ht="15.75" customHeight="1">
      <c r="A211" s="95"/>
      <c r="B211" s="95"/>
      <c r="C211" s="95"/>
      <c r="D211" s="163"/>
      <c r="E211" s="163"/>
      <c r="F211" s="95"/>
      <c r="G211" s="95"/>
      <c r="H211" s="95"/>
      <c r="I211" s="95"/>
      <c r="J211" s="95"/>
      <c r="K211" s="95"/>
      <c r="L211" s="95"/>
      <c r="M211" s="95"/>
      <c r="N211" s="95"/>
      <c r="O211" s="95"/>
      <c r="P211" s="95"/>
      <c r="Q211" s="95"/>
      <c r="R211" s="95"/>
      <c r="S211" s="95"/>
      <c r="T211" s="95"/>
      <c r="U211" s="95"/>
      <c r="V211" s="95"/>
      <c r="W211" s="95"/>
      <c r="X211" s="95"/>
      <c r="Y211" s="95"/>
    </row>
    <row r="212" ht="15.75" customHeight="1">
      <c r="A212" s="95"/>
      <c r="B212" s="95"/>
      <c r="C212" s="95"/>
      <c r="D212" s="163"/>
      <c r="E212" s="163"/>
      <c r="F212" s="95"/>
      <c r="G212" s="95"/>
      <c r="H212" s="95"/>
      <c r="I212" s="95"/>
      <c r="J212" s="95"/>
      <c r="K212" s="95"/>
      <c r="L212" s="95"/>
      <c r="M212" s="95"/>
      <c r="N212" s="95"/>
      <c r="O212" s="95"/>
      <c r="P212" s="95"/>
      <c r="Q212" s="95"/>
      <c r="R212" s="95"/>
      <c r="S212" s="95"/>
      <c r="T212" s="95"/>
      <c r="U212" s="95"/>
      <c r="V212" s="95"/>
      <c r="W212" s="95"/>
      <c r="X212" s="95"/>
      <c r="Y212" s="95"/>
    </row>
    <row r="213" ht="15.75" customHeight="1">
      <c r="A213" s="95"/>
      <c r="B213" s="95"/>
      <c r="C213" s="95"/>
      <c r="D213" s="163"/>
      <c r="E213" s="163"/>
      <c r="F213" s="95"/>
      <c r="G213" s="95"/>
      <c r="H213" s="95"/>
      <c r="I213" s="95"/>
      <c r="J213" s="95"/>
      <c r="K213" s="95"/>
      <c r="L213" s="95"/>
      <c r="M213" s="95"/>
      <c r="N213" s="95"/>
      <c r="O213" s="95"/>
      <c r="P213" s="95"/>
      <c r="Q213" s="95"/>
      <c r="R213" s="95"/>
      <c r="S213" s="95"/>
      <c r="T213" s="95"/>
      <c r="U213" s="95"/>
      <c r="V213" s="95"/>
      <c r="W213" s="95"/>
      <c r="X213" s="95"/>
      <c r="Y213" s="95"/>
    </row>
    <row r="214" ht="15.75" customHeight="1">
      <c r="A214" s="95"/>
      <c r="B214" s="95"/>
      <c r="C214" s="95"/>
      <c r="D214" s="163"/>
      <c r="E214" s="163"/>
      <c r="F214" s="95"/>
      <c r="G214" s="95"/>
      <c r="H214" s="95"/>
      <c r="I214" s="95"/>
      <c r="J214" s="95"/>
      <c r="K214" s="95"/>
      <c r="L214" s="95"/>
      <c r="M214" s="95"/>
      <c r="N214" s="95"/>
      <c r="O214" s="95"/>
      <c r="P214" s="95"/>
      <c r="Q214" s="95"/>
      <c r="R214" s="95"/>
      <c r="S214" s="95"/>
      <c r="T214" s="95"/>
      <c r="U214" s="95"/>
      <c r="V214" s="95"/>
      <c r="W214" s="95"/>
      <c r="X214" s="95"/>
      <c r="Y214" s="95"/>
    </row>
    <row r="215" ht="15.75" customHeight="1">
      <c r="A215" s="95"/>
      <c r="B215" s="95"/>
      <c r="C215" s="95"/>
      <c r="D215" s="163"/>
      <c r="E215" s="163"/>
      <c r="F215" s="95"/>
      <c r="G215" s="95"/>
      <c r="H215" s="95"/>
      <c r="I215" s="95"/>
      <c r="J215" s="95"/>
      <c r="K215" s="95"/>
      <c r="L215" s="95"/>
      <c r="M215" s="95"/>
      <c r="N215" s="95"/>
      <c r="O215" s="95"/>
      <c r="P215" s="95"/>
      <c r="Q215" s="95"/>
      <c r="R215" s="95"/>
      <c r="S215" s="95"/>
      <c r="T215" s="95"/>
      <c r="U215" s="95"/>
      <c r="V215" s="95"/>
      <c r="W215" s="95"/>
      <c r="X215" s="95"/>
      <c r="Y215" s="95"/>
    </row>
    <row r="216" ht="15.75" customHeight="1">
      <c r="A216" s="95"/>
      <c r="B216" s="95"/>
      <c r="C216" s="95"/>
      <c r="D216" s="163"/>
      <c r="E216" s="163"/>
      <c r="F216" s="95"/>
      <c r="G216" s="95"/>
      <c r="H216" s="95"/>
      <c r="I216" s="95"/>
      <c r="J216" s="95"/>
      <c r="K216" s="95"/>
      <c r="L216" s="95"/>
      <c r="M216" s="95"/>
      <c r="N216" s="95"/>
      <c r="O216" s="95"/>
      <c r="P216" s="95"/>
      <c r="Q216" s="95"/>
      <c r="R216" s="95"/>
      <c r="S216" s="95"/>
      <c r="T216" s="95"/>
      <c r="U216" s="95"/>
      <c r="V216" s="95"/>
      <c r="W216" s="95"/>
      <c r="X216" s="95"/>
      <c r="Y216" s="95"/>
    </row>
    <row r="217" ht="15.75" customHeight="1">
      <c r="A217" s="95"/>
      <c r="B217" s="95"/>
      <c r="C217" s="95"/>
      <c r="D217" s="163"/>
      <c r="E217" s="163"/>
      <c r="F217" s="95"/>
      <c r="G217" s="95"/>
      <c r="H217" s="95"/>
      <c r="I217" s="95"/>
      <c r="J217" s="95"/>
      <c r="K217" s="95"/>
      <c r="L217" s="95"/>
      <c r="M217" s="95"/>
      <c r="N217" s="95"/>
      <c r="O217" s="95"/>
      <c r="P217" s="95"/>
      <c r="Q217" s="95"/>
      <c r="R217" s="95"/>
      <c r="S217" s="95"/>
      <c r="T217" s="95"/>
      <c r="U217" s="95"/>
      <c r="V217" s="95"/>
      <c r="W217" s="95"/>
      <c r="X217" s="95"/>
      <c r="Y217" s="95"/>
    </row>
    <row r="218" ht="15.75" customHeight="1">
      <c r="A218" s="95"/>
      <c r="B218" s="95"/>
      <c r="C218" s="95"/>
      <c r="D218" s="163"/>
      <c r="E218" s="163"/>
      <c r="F218" s="95"/>
      <c r="G218" s="95"/>
      <c r="H218" s="95"/>
      <c r="I218" s="95"/>
      <c r="J218" s="95"/>
      <c r="K218" s="95"/>
      <c r="L218" s="95"/>
      <c r="M218" s="95"/>
      <c r="N218" s="95"/>
      <c r="O218" s="95"/>
      <c r="P218" s="95"/>
      <c r="Q218" s="95"/>
      <c r="R218" s="95"/>
      <c r="S218" s="95"/>
      <c r="T218" s="95"/>
      <c r="U218" s="95"/>
      <c r="V218" s="95"/>
      <c r="W218" s="95"/>
      <c r="X218" s="95"/>
      <c r="Y218" s="95"/>
    </row>
    <row r="219" ht="15.75" customHeight="1">
      <c r="A219" s="95"/>
      <c r="B219" s="95"/>
      <c r="C219" s="95"/>
      <c r="D219" s="163"/>
      <c r="E219" s="163"/>
      <c r="F219" s="95"/>
      <c r="G219" s="95"/>
      <c r="H219" s="95"/>
      <c r="I219" s="95"/>
      <c r="J219" s="95"/>
      <c r="K219" s="95"/>
      <c r="L219" s="95"/>
      <c r="M219" s="95"/>
      <c r="N219" s="95"/>
      <c r="O219" s="95"/>
      <c r="P219" s="95"/>
      <c r="Q219" s="95"/>
      <c r="R219" s="95"/>
      <c r="S219" s="95"/>
      <c r="T219" s="95"/>
      <c r="U219" s="95"/>
      <c r="V219" s="95"/>
      <c r="W219" s="95"/>
      <c r="X219" s="95"/>
      <c r="Y219" s="95"/>
    </row>
    <row r="220" ht="15.75" customHeight="1">
      <c r="A220" s="95"/>
      <c r="B220" s="95"/>
      <c r="C220" s="95"/>
      <c r="D220" s="163"/>
      <c r="E220" s="163"/>
      <c r="F220" s="95"/>
      <c r="G220" s="95"/>
      <c r="H220" s="95"/>
      <c r="I220" s="95"/>
      <c r="J220" s="95"/>
      <c r="K220" s="95"/>
      <c r="L220" s="95"/>
      <c r="M220" s="95"/>
      <c r="N220" s="95"/>
      <c r="O220" s="95"/>
      <c r="P220" s="95"/>
      <c r="Q220" s="95"/>
      <c r="R220" s="95"/>
      <c r="S220" s="95"/>
      <c r="T220" s="95"/>
      <c r="U220" s="95"/>
      <c r="V220" s="95"/>
      <c r="W220" s="95"/>
      <c r="X220" s="95"/>
      <c r="Y220" s="95"/>
    </row>
    <row r="221" ht="15.75" customHeight="1">
      <c r="A221" s="95"/>
      <c r="B221" s="95"/>
      <c r="C221" s="95"/>
      <c r="D221" s="163"/>
      <c r="E221" s="163"/>
      <c r="F221" s="95"/>
      <c r="G221" s="95"/>
      <c r="H221" s="95"/>
      <c r="I221" s="95"/>
      <c r="J221" s="95"/>
      <c r="K221" s="95"/>
      <c r="L221" s="95"/>
      <c r="M221" s="95"/>
      <c r="N221" s="95"/>
      <c r="O221" s="95"/>
      <c r="P221" s="95"/>
      <c r="Q221" s="95"/>
      <c r="R221" s="95"/>
      <c r="S221" s="95"/>
      <c r="T221" s="95"/>
      <c r="U221" s="95"/>
      <c r="V221" s="95"/>
      <c r="W221" s="95"/>
      <c r="X221" s="95"/>
      <c r="Y221" s="95"/>
    </row>
    <row r="222" ht="15.75" customHeight="1">
      <c r="A222" s="95"/>
      <c r="B222" s="95"/>
      <c r="C222" s="95"/>
      <c r="D222" s="163"/>
      <c r="E222" s="163"/>
      <c r="F222" s="95"/>
      <c r="G222" s="95"/>
      <c r="H222" s="95"/>
      <c r="I222" s="95"/>
      <c r="J222" s="95"/>
      <c r="K222" s="95"/>
      <c r="L222" s="95"/>
      <c r="M222" s="95"/>
      <c r="N222" s="95"/>
      <c r="O222" s="95"/>
      <c r="P222" s="95"/>
      <c r="Q222" s="95"/>
      <c r="R222" s="95"/>
      <c r="S222" s="95"/>
      <c r="T222" s="95"/>
      <c r="U222" s="95"/>
      <c r="V222" s="95"/>
      <c r="W222" s="95"/>
      <c r="X222" s="95"/>
      <c r="Y222" s="95"/>
    </row>
    <row r="223" ht="15.75" customHeight="1">
      <c r="A223" s="95"/>
      <c r="B223" s="95"/>
      <c r="C223" s="95"/>
      <c r="D223" s="163"/>
      <c r="E223" s="163"/>
      <c r="F223" s="95"/>
      <c r="G223" s="95"/>
      <c r="H223" s="95"/>
      <c r="I223" s="95"/>
      <c r="J223" s="95"/>
      <c r="K223" s="95"/>
      <c r="L223" s="95"/>
      <c r="M223" s="95"/>
      <c r="N223" s="95"/>
      <c r="O223" s="95"/>
      <c r="P223" s="95"/>
      <c r="Q223" s="95"/>
      <c r="R223" s="95"/>
      <c r="S223" s="95"/>
      <c r="T223" s="95"/>
      <c r="U223" s="95"/>
      <c r="V223" s="95"/>
      <c r="W223" s="95"/>
      <c r="X223" s="95"/>
      <c r="Y223" s="95"/>
    </row>
    <row r="224" ht="15.75" customHeight="1">
      <c r="A224" s="95"/>
      <c r="B224" s="95"/>
      <c r="C224" s="95"/>
      <c r="D224" s="163"/>
      <c r="E224" s="163"/>
      <c r="F224" s="95"/>
      <c r="G224" s="95"/>
      <c r="H224" s="95"/>
      <c r="I224" s="95"/>
      <c r="J224" s="95"/>
      <c r="K224" s="95"/>
      <c r="L224" s="95"/>
      <c r="M224" s="95"/>
      <c r="N224" s="95"/>
      <c r="O224" s="95"/>
      <c r="P224" s="95"/>
      <c r="Q224" s="95"/>
      <c r="R224" s="95"/>
      <c r="S224" s="95"/>
      <c r="T224" s="95"/>
      <c r="U224" s="95"/>
      <c r="V224" s="95"/>
      <c r="W224" s="95"/>
      <c r="X224" s="95"/>
      <c r="Y224" s="95"/>
    </row>
    <row r="225" ht="15.75" customHeight="1">
      <c r="A225" s="95"/>
      <c r="B225" s="95"/>
      <c r="C225" s="95"/>
      <c r="D225" s="163"/>
      <c r="E225" s="163"/>
      <c r="F225" s="95"/>
      <c r="G225" s="95"/>
      <c r="H225" s="95"/>
      <c r="I225" s="95"/>
      <c r="J225" s="95"/>
      <c r="K225" s="95"/>
      <c r="L225" s="95"/>
      <c r="M225" s="95"/>
      <c r="N225" s="95"/>
      <c r="O225" s="95"/>
      <c r="P225" s="95"/>
      <c r="Q225" s="95"/>
      <c r="R225" s="95"/>
      <c r="S225" s="95"/>
      <c r="T225" s="95"/>
      <c r="U225" s="95"/>
      <c r="V225" s="95"/>
      <c r="W225" s="95"/>
      <c r="X225" s="95"/>
      <c r="Y225" s="95"/>
    </row>
    <row r="226" ht="15.75" customHeight="1">
      <c r="A226" s="95"/>
      <c r="B226" s="95"/>
      <c r="C226" s="95"/>
      <c r="D226" s="163"/>
      <c r="E226" s="163"/>
      <c r="F226" s="95"/>
      <c r="G226" s="95"/>
      <c r="H226" s="95"/>
      <c r="I226" s="95"/>
      <c r="J226" s="95"/>
      <c r="K226" s="95"/>
      <c r="L226" s="95"/>
      <c r="M226" s="95"/>
      <c r="N226" s="95"/>
      <c r="O226" s="95"/>
      <c r="P226" s="95"/>
      <c r="Q226" s="95"/>
      <c r="R226" s="95"/>
      <c r="S226" s="95"/>
      <c r="T226" s="95"/>
      <c r="U226" s="95"/>
      <c r="V226" s="95"/>
      <c r="W226" s="95"/>
      <c r="X226" s="95"/>
      <c r="Y226" s="95"/>
    </row>
    <row r="227" ht="15.75" customHeight="1">
      <c r="A227" s="95"/>
      <c r="B227" s="95"/>
      <c r="C227" s="95"/>
      <c r="D227" s="163"/>
      <c r="E227" s="163"/>
      <c r="F227" s="95"/>
      <c r="G227" s="95"/>
      <c r="H227" s="95"/>
      <c r="I227" s="95"/>
      <c r="J227" s="95"/>
      <c r="K227" s="95"/>
      <c r="L227" s="95"/>
      <c r="M227" s="95"/>
      <c r="N227" s="95"/>
      <c r="O227" s="95"/>
      <c r="P227" s="95"/>
      <c r="Q227" s="95"/>
      <c r="R227" s="95"/>
      <c r="S227" s="95"/>
      <c r="T227" s="95"/>
      <c r="U227" s="95"/>
      <c r="V227" s="95"/>
      <c r="W227" s="95"/>
      <c r="X227" s="95"/>
      <c r="Y227" s="95"/>
    </row>
    <row r="228" ht="15.75" customHeight="1">
      <c r="A228" s="95"/>
      <c r="B228" s="95"/>
      <c r="C228" s="95"/>
      <c r="D228" s="163"/>
      <c r="E228" s="163"/>
      <c r="F228" s="95"/>
      <c r="G228" s="95"/>
      <c r="H228" s="95"/>
      <c r="I228" s="95"/>
      <c r="J228" s="95"/>
      <c r="K228" s="95"/>
      <c r="L228" s="95"/>
      <c r="M228" s="95"/>
      <c r="N228" s="95"/>
      <c r="O228" s="95"/>
      <c r="P228" s="95"/>
      <c r="Q228" s="95"/>
      <c r="R228" s="95"/>
      <c r="S228" s="95"/>
      <c r="T228" s="95"/>
      <c r="U228" s="95"/>
      <c r="V228" s="95"/>
      <c r="W228" s="95"/>
      <c r="X228" s="95"/>
      <c r="Y228" s="95"/>
    </row>
    <row r="229" ht="15.75" customHeight="1">
      <c r="A229" s="95"/>
      <c r="B229" s="95"/>
      <c r="C229" s="95"/>
      <c r="D229" s="163"/>
      <c r="E229" s="163"/>
      <c r="F229" s="95"/>
      <c r="G229" s="95"/>
      <c r="H229" s="95"/>
      <c r="I229" s="95"/>
      <c r="J229" s="95"/>
      <c r="K229" s="95"/>
      <c r="L229" s="95"/>
      <c r="M229" s="95"/>
      <c r="N229" s="95"/>
      <c r="O229" s="95"/>
      <c r="P229" s="95"/>
      <c r="Q229" s="95"/>
      <c r="R229" s="95"/>
      <c r="S229" s="95"/>
      <c r="T229" s="95"/>
      <c r="U229" s="95"/>
      <c r="V229" s="95"/>
      <c r="W229" s="95"/>
      <c r="X229" s="95"/>
      <c r="Y229" s="95"/>
    </row>
    <row r="230" ht="15.75" customHeight="1">
      <c r="D230" s="182"/>
      <c r="E230" s="182"/>
    </row>
    <row r="231" ht="15.75" customHeight="1">
      <c r="D231" s="182"/>
      <c r="E231" s="182"/>
    </row>
    <row r="232" ht="15.75" customHeight="1">
      <c r="D232" s="182"/>
      <c r="E232" s="182"/>
    </row>
    <row r="233" ht="15.75" customHeight="1">
      <c r="D233" s="182"/>
      <c r="E233" s="182"/>
    </row>
    <row r="234" ht="15.75" customHeight="1">
      <c r="D234" s="182"/>
      <c r="E234" s="182"/>
    </row>
    <row r="235" ht="15.75" customHeight="1">
      <c r="D235" s="182"/>
      <c r="E235" s="182"/>
    </row>
    <row r="236" ht="15.75" customHeight="1">
      <c r="D236" s="182"/>
      <c r="E236" s="182"/>
    </row>
    <row r="237" ht="15.75" customHeight="1">
      <c r="D237" s="182"/>
      <c r="E237" s="182"/>
    </row>
    <row r="238" ht="15.75" customHeight="1">
      <c r="D238" s="182"/>
      <c r="E238" s="182"/>
    </row>
    <row r="239" ht="15.75" customHeight="1">
      <c r="D239" s="182"/>
      <c r="E239" s="182"/>
    </row>
    <row r="240" ht="15.75" customHeight="1">
      <c r="D240" s="182"/>
      <c r="E240" s="182"/>
    </row>
    <row r="241" ht="15.75" customHeight="1">
      <c r="D241" s="182"/>
      <c r="E241" s="182"/>
    </row>
    <row r="242" ht="15.75" customHeight="1">
      <c r="D242" s="182"/>
      <c r="E242" s="182"/>
    </row>
    <row r="243" ht="15.75" customHeight="1">
      <c r="D243" s="182"/>
      <c r="E243" s="182"/>
    </row>
    <row r="244" ht="15.75" customHeight="1">
      <c r="D244" s="182"/>
      <c r="E244" s="182"/>
    </row>
    <row r="245" ht="15.75" customHeight="1">
      <c r="D245" s="182"/>
      <c r="E245" s="182"/>
    </row>
    <row r="246" ht="15.75" customHeight="1">
      <c r="D246" s="182"/>
      <c r="E246" s="182"/>
    </row>
    <row r="247" ht="15.75" customHeight="1">
      <c r="D247" s="182"/>
      <c r="E247" s="182"/>
    </row>
    <row r="248" ht="15.75" customHeight="1">
      <c r="D248" s="182"/>
      <c r="E248" s="182"/>
    </row>
    <row r="249" ht="15.75" customHeight="1">
      <c r="D249" s="182"/>
      <c r="E249" s="182"/>
    </row>
    <row r="250" ht="15.75" customHeight="1">
      <c r="D250" s="182"/>
      <c r="E250" s="182"/>
    </row>
    <row r="251" ht="15.75" customHeight="1">
      <c r="D251" s="182"/>
      <c r="E251" s="182"/>
    </row>
    <row r="252" ht="15.75" customHeight="1">
      <c r="D252" s="182"/>
      <c r="E252" s="182"/>
    </row>
    <row r="253" ht="15.75" customHeight="1">
      <c r="D253" s="182"/>
      <c r="E253" s="182"/>
    </row>
    <row r="254" ht="15.75" customHeight="1">
      <c r="D254" s="182"/>
      <c r="E254" s="182"/>
    </row>
    <row r="255" ht="15.75" customHeight="1">
      <c r="D255" s="182"/>
      <c r="E255" s="182"/>
    </row>
    <row r="256" ht="15.75" customHeight="1">
      <c r="D256" s="182"/>
      <c r="E256" s="182"/>
    </row>
    <row r="257" ht="15.75" customHeight="1">
      <c r="D257" s="182"/>
      <c r="E257" s="182"/>
    </row>
    <row r="258" ht="15.75" customHeight="1">
      <c r="D258" s="182"/>
      <c r="E258" s="182"/>
    </row>
    <row r="259" ht="15.75" customHeight="1">
      <c r="D259" s="182"/>
      <c r="E259" s="182"/>
    </row>
    <row r="260" ht="15.75" customHeight="1">
      <c r="D260" s="182"/>
      <c r="E260" s="182"/>
    </row>
    <row r="261" ht="15.75" customHeight="1">
      <c r="D261" s="182"/>
      <c r="E261" s="182"/>
    </row>
    <row r="262" ht="15.75" customHeight="1">
      <c r="D262" s="182"/>
      <c r="E262" s="182"/>
    </row>
    <row r="263" ht="15.75" customHeight="1">
      <c r="D263" s="182"/>
      <c r="E263" s="182"/>
    </row>
    <row r="264" ht="15.75" customHeight="1">
      <c r="D264" s="182"/>
      <c r="E264" s="182"/>
    </row>
    <row r="265" ht="15.75" customHeight="1">
      <c r="D265" s="182"/>
      <c r="E265" s="182"/>
    </row>
    <row r="266" ht="15.75" customHeight="1">
      <c r="D266" s="182"/>
      <c r="E266" s="182"/>
    </row>
    <row r="267" ht="15.75" customHeight="1">
      <c r="D267" s="182"/>
      <c r="E267" s="182"/>
    </row>
    <row r="268" ht="15.75" customHeight="1">
      <c r="D268" s="182"/>
      <c r="E268" s="182"/>
    </row>
    <row r="269" ht="15.75" customHeight="1">
      <c r="D269" s="182"/>
      <c r="E269" s="182"/>
    </row>
    <row r="270" ht="15.75" customHeight="1">
      <c r="D270" s="182"/>
      <c r="E270" s="182"/>
    </row>
    <row r="271" ht="15.75" customHeight="1">
      <c r="D271" s="182"/>
      <c r="E271" s="182"/>
    </row>
    <row r="272" ht="15.75" customHeight="1">
      <c r="D272" s="182"/>
      <c r="E272" s="182"/>
    </row>
    <row r="273" ht="15.75" customHeight="1">
      <c r="D273" s="182"/>
      <c r="E273" s="182"/>
    </row>
    <row r="274" ht="15.75" customHeight="1">
      <c r="D274" s="182"/>
      <c r="E274" s="182"/>
    </row>
    <row r="275" ht="15.75" customHeight="1">
      <c r="D275" s="182"/>
      <c r="E275" s="182"/>
    </row>
    <row r="276" ht="15.75" customHeight="1">
      <c r="D276" s="182"/>
      <c r="E276" s="182"/>
    </row>
    <row r="277" ht="15.75" customHeight="1">
      <c r="D277" s="182"/>
      <c r="E277" s="182"/>
    </row>
    <row r="278" ht="15.75" customHeight="1">
      <c r="D278" s="182"/>
      <c r="E278" s="182"/>
    </row>
    <row r="279" ht="15.75" customHeight="1">
      <c r="D279" s="182"/>
      <c r="E279" s="182"/>
    </row>
    <row r="280" ht="15.75" customHeight="1">
      <c r="D280" s="182"/>
      <c r="E280" s="182"/>
    </row>
    <row r="281" ht="15.75" customHeight="1">
      <c r="D281" s="182"/>
      <c r="E281" s="182"/>
    </row>
    <row r="282" ht="15.75" customHeight="1">
      <c r="D282" s="182"/>
      <c r="E282" s="182"/>
    </row>
    <row r="283" ht="15.75" customHeight="1">
      <c r="D283" s="182"/>
      <c r="E283" s="182"/>
    </row>
    <row r="284" ht="15.75" customHeight="1">
      <c r="D284" s="182"/>
      <c r="E284" s="182"/>
    </row>
    <row r="285" ht="15.75" customHeight="1">
      <c r="D285" s="182"/>
      <c r="E285" s="182"/>
    </row>
    <row r="286" ht="15.75" customHeight="1">
      <c r="D286" s="182"/>
      <c r="E286" s="182"/>
    </row>
    <row r="287" ht="15.75" customHeight="1">
      <c r="D287" s="182"/>
      <c r="E287" s="182"/>
    </row>
    <row r="288" ht="15.75" customHeight="1">
      <c r="D288" s="182"/>
      <c r="E288" s="182"/>
    </row>
    <row r="289" ht="15.75" customHeight="1">
      <c r="D289" s="182"/>
      <c r="E289" s="182"/>
    </row>
    <row r="290" ht="15.75" customHeight="1">
      <c r="D290" s="182"/>
      <c r="E290" s="182"/>
    </row>
    <row r="291" ht="15.75" customHeight="1">
      <c r="D291" s="182"/>
      <c r="E291" s="182"/>
    </row>
    <row r="292" ht="15.75" customHeight="1">
      <c r="D292" s="182"/>
      <c r="E292" s="182"/>
    </row>
    <row r="293" ht="15.75" customHeight="1">
      <c r="D293" s="182"/>
      <c r="E293" s="182"/>
    </row>
    <row r="294" ht="15.75" customHeight="1">
      <c r="D294" s="182"/>
      <c r="E294" s="182"/>
    </row>
    <row r="295" ht="15.75" customHeight="1">
      <c r="D295" s="182"/>
      <c r="E295" s="182"/>
    </row>
    <row r="296" ht="15.75" customHeight="1">
      <c r="D296" s="182"/>
      <c r="E296" s="182"/>
    </row>
    <row r="297" ht="15.75" customHeight="1">
      <c r="D297" s="182"/>
      <c r="E297" s="182"/>
    </row>
    <row r="298" ht="15.75" customHeight="1">
      <c r="D298" s="182"/>
      <c r="E298" s="182"/>
    </row>
    <row r="299" ht="15.75" customHeight="1">
      <c r="D299" s="182"/>
      <c r="E299" s="182"/>
    </row>
    <row r="300" ht="15.75" customHeight="1">
      <c r="D300" s="182"/>
      <c r="E300" s="182"/>
    </row>
    <row r="301" ht="15.75" customHeight="1">
      <c r="D301" s="182"/>
      <c r="E301" s="182"/>
    </row>
    <row r="302" ht="15.75" customHeight="1">
      <c r="D302" s="182"/>
      <c r="E302" s="182"/>
    </row>
    <row r="303" ht="15.75" customHeight="1">
      <c r="D303" s="182"/>
      <c r="E303" s="182"/>
    </row>
    <row r="304" ht="15.75" customHeight="1">
      <c r="D304" s="182"/>
      <c r="E304" s="182"/>
    </row>
    <row r="305" ht="15.75" customHeight="1">
      <c r="D305" s="182"/>
      <c r="E305" s="182"/>
    </row>
    <row r="306" ht="15.75" customHeight="1">
      <c r="D306" s="182"/>
      <c r="E306" s="182"/>
    </row>
    <row r="307" ht="15.75" customHeight="1">
      <c r="D307" s="182"/>
      <c r="E307" s="182"/>
    </row>
    <row r="308" ht="15.75" customHeight="1">
      <c r="D308" s="182"/>
      <c r="E308" s="182"/>
    </row>
    <row r="309" ht="15.75" customHeight="1">
      <c r="D309" s="182"/>
      <c r="E309" s="182"/>
    </row>
    <row r="310" ht="15.75" customHeight="1">
      <c r="D310" s="182"/>
      <c r="E310" s="182"/>
    </row>
    <row r="311" ht="15.75" customHeight="1">
      <c r="D311" s="182"/>
      <c r="E311" s="182"/>
    </row>
    <row r="312" ht="15.75" customHeight="1">
      <c r="D312" s="182"/>
      <c r="E312" s="182"/>
    </row>
    <row r="313" ht="15.75" customHeight="1">
      <c r="D313" s="182"/>
      <c r="E313" s="182"/>
    </row>
    <row r="314" ht="15.75" customHeight="1">
      <c r="D314" s="182"/>
      <c r="E314" s="182"/>
    </row>
    <row r="315" ht="15.75" customHeight="1">
      <c r="D315" s="182"/>
      <c r="E315" s="182"/>
    </row>
    <row r="316" ht="15.75" customHeight="1">
      <c r="D316" s="182"/>
      <c r="E316" s="182"/>
    </row>
    <row r="317" ht="15.75" customHeight="1">
      <c r="D317" s="182"/>
      <c r="E317" s="182"/>
    </row>
    <row r="318" ht="15.75" customHeight="1">
      <c r="D318" s="182"/>
      <c r="E318" s="182"/>
    </row>
    <row r="319" ht="15.75" customHeight="1">
      <c r="D319" s="182"/>
      <c r="E319" s="182"/>
    </row>
    <row r="320" ht="15.75" customHeight="1">
      <c r="D320" s="182"/>
      <c r="E320" s="182"/>
    </row>
    <row r="321" ht="15.75" customHeight="1">
      <c r="D321" s="182"/>
      <c r="E321" s="182"/>
    </row>
    <row r="322" ht="15.75" customHeight="1">
      <c r="D322" s="182"/>
      <c r="E322" s="182"/>
    </row>
    <row r="323" ht="15.75" customHeight="1">
      <c r="D323" s="182"/>
      <c r="E323" s="182"/>
    </row>
    <row r="324" ht="15.75" customHeight="1">
      <c r="D324" s="182"/>
      <c r="E324" s="182"/>
    </row>
    <row r="325" ht="15.75" customHeight="1">
      <c r="D325" s="182"/>
      <c r="E325" s="182"/>
    </row>
    <row r="326" ht="15.75" customHeight="1">
      <c r="D326" s="182"/>
      <c r="E326" s="182"/>
    </row>
    <row r="327" ht="15.75" customHeight="1">
      <c r="D327" s="182"/>
      <c r="E327" s="182"/>
    </row>
    <row r="328" ht="15.75" customHeight="1">
      <c r="D328" s="182"/>
      <c r="E328" s="182"/>
    </row>
    <row r="329" ht="15.75" customHeight="1">
      <c r="D329" s="182"/>
      <c r="E329" s="182"/>
    </row>
    <row r="330" ht="15.75" customHeight="1">
      <c r="D330" s="182"/>
      <c r="E330" s="182"/>
    </row>
    <row r="331" ht="15.75" customHeight="1">
      <c r="D331" s="182"/>
      <c r="E331" s="182"/>
    </row>
    <row r="332" ht="15.75" customHeight="1">
      <c r="D332" s="182"/>
      <c r="E332" s="182"/>
    </row>
    <row r="333" ht="15.75" customHeight="1">
      <c r="D333" s="182"/>
      <c r="E333" s="182"/>
    </row>
    <row r="334" ht="15.75" customHeight="1">
      <c r="D334" s="182"/>
      <c r="E334" s="182"/>
    </row>
    <row r="335" ht="15.75" customHeight="1">
      <c r="D335" s="182"/>
      <c r="E335" s="182"/>
    </row>
    <row r="336" ht="15.75" customHeight="1">
      <c r="D336" s="182"/>
      <c r="E336" s="182"/>
    </row>
    <row r="337" ht="15.75" customHeight="1">
      <c r="D337" s="182"/>
      <c r="E337" s="182"/>
    </row>
    <row r="338" ht="15.75" customHeight="1">
      <c r="D338" s="182"/>
      <c r="E338" s="182"/>
    </row>
    <row r="339" ht="15.75" customHeight="1">
      <c r="D339" s="182"/>
      <c r="E339" s="182"/>
    </row>
    <row r="340" ht="15.75" customHeight="1">
      <c r="D340" s="182"/>
      <c r="E340" s="182"/>
    </row>
    <row r="341" ht="15.75" customHeight="1">
      <c r="D341" s="182"/>
      <c r="E341" s="182"/>
    </row>
    <row r="342" ht="15.75" customHeight="1">
      <c r="D342" s="182"/>
      <c r="E342" s="182"/>
    </row>
    <row r="343" ht="15.75" customHeight="1">
      <c r="D343" s="182"/>
      <c r="E343" s="182"/>
    </row>
    <row r="344" ht="15.75" customHeight="1">
      <c r="D344" s="182"/>
      <c r="E344" s="182"/>
    </row>
    <row r="345" ht="15.75" customHeight="1">
      <c r="D345" s="182"/>
      <c r="E345" s="182"/>
    </row>
    <row r="346" ht="15.75" customHeight="1">
      <c r="D346" s="182"/>
      <c r="E346" s="182"/>
    </row>
    <row r="347" ht="15.75" customHeight="1">
      <c r="D347" s="182"/>
      <c r="E347" s="182"/>
    </row>
    <row r="348" ht="15.75" customHeight="1">
      <c r="D348" s="182"/>
      <c r="E348" s="182"/>
    </row>
    <row r="349" ht="15.75" customHeight="1">
      <c r="D349" s="182"/>
      <c r="E349" s="182"/>
    </row>
    <row r="350" ht="15.75" customHeight="1">
      <c r="D350" s="182"/>
      <c r="E350" s="182"/>
    </row>
    <row r="351" ht="15.75" customHeight="1">
      <c r="D351" s="182"/>
      <c r="E351" s="182"/>
    </row>
    <row r="352" ht="15.75" customHeight="1">
      <c r="D352" s="182"/>
      <c r="E352" s="182"/>
    </row>
    <row r="353" ht="15.75" customHeight="1">
      <c r="D353" s="182"/>
      <c r="E353" s="182"/>
    </row>
    <row r="354" ht="15.75" customHeight="1">
      <c r="D354" s="182"/>
      <c r="E354" s="182"/>
    </row>
    <row r="355" ht="15.75" customHeight="1">
      <c r="D355" s="182"/>
      <c r="E355" s="182"/>
    </row>
    <row r="356" ht="15.75" customHeight="1">
      <c r="D356" s="182"/>
      <c r="E356" s="182"/>
    </row>
    <row r="357" ht="15.75" customHeight="1">
      <c r="D357" s="182"/>
      <c r="E357" s="182"/>
    </row>
    <row r="358" ht="15.75" customHeight="1">
      <c r="D358" s="182"/>
      <c r="E358" s="182"/>
    </row>
    <row r="359" ht="15.75" customHeight="1">
      <c r="D359" s="182"/>
      <c r="E359" s="182"/>
    </row>
    <row r="360" ht="15.75" customHeight="1">
      <c r="D360" s="182"/>
      <c r="E360" s="182"/>
    </row>
    <row r="361" ht="15.75" customHeight="1">
      <c r="D361" s="182"/>
      <c r="E361" s="182"/>
    </row>
    <row r="362" ht="15.75" customHeight="1">
      <c r="D362" s="182"/>
      <c r="E362" s="182"/>
    </row>
    <row r="363" ht="15.75" customHeight="1">
      <c r="D363" s="182"/>
      <c r="E363" s="182"/>
    </row>
    <row r="364" ht="15.75" customHeight="1">
      <c r="D364" s="182"/>
      <c r="E364" s="182"/>
    </row>
    <row r="365" ht="15.75" customHeight="1">
      <c r="D365" s="182"/>
      <c r="E365" s="182"/>
    </row>
    <row r="366" ht="15.75" customHeight="1">
      <c r="D366" s="182"/>
      <c r="E366" s="182"/>
    </row>
    <row r="367" ht="15.75" customHeight="1">
      <c r="D367" s="182"/>
      <c r="E367" s="182"/>
    </row>
    <row r="368" ht="15.75" customHeight="1">
      <c r="D368" s="182"/>
      <c r="E368" s="182"/>
    </row>
    <row r="369" ht="15.75" customHeight="1">
      <c r="D369" s="182"/>
      <c r="E369" s="182"/>
    </row>
    <row r="370" ht="15.75" customHeight="1">
      <c r="D370" s="182"/>
      <c r="E370" s="182"/>
    </row>
    <row r="371" ht="15.75" customHeight="1">
      <c r="D371" s="182"/>
      <c r="E371" s="182"/>
    </row>
    <row r="372" ht="15.75" customHeight="1">
      <c r="D372" s="182"/>
      <c r="E372" s="182"/>
    </row>
    <row r="373" ht="15.75" customHeight="1">
      <c r="D373" s="182"/>
      <c r="E373" s="182"/>
    </row>
    <row r="374" ht="15.75" customHeight="1">
      <c r="D374" s="182"/>
      <c r="E374" s="182"/>
    </row>
    <row r="375" ht="15.75" customHeight="1">
      <c r="D375" s="182"/>
      <c r="E375" s="182"/>
    </row>
    <row r="376" ht="15.75" customHeight="1">
      <c r="D376" s="182"/>
      <c r="E376" s="182"/>
    </row>
    <row r="377" ht="15.75" customHeight="1">
      <c r="D377" s="182"/>
      <c r="E377" s="182"/>
    </row>
    <row r="378" ht="15.75" customHeight="1">
      <c r="D378" s="182"/>
      <c r="E378" s="182"/>
    </row>
    <row r="379" ht="15.75" customHeight="1">
      <c r="D379" s="182"/>
      <c r="E379" s="182"/>
    </row>
    <row r="380" ht="15.75" customHeight="1">
      <c r="D380" s="182"/>
      <c r="E380" s="182"/>
    </row>
    <row r="381" ht="15.75" customHeight="1">
      <c r="D381" s="182"/>
      <c r="E381" s="182"/>
    </row>
    <row r="382" ht="15.75" customHeight="1">
      <c r="D382" s="182"/>
      <c r="E382" s="182"/>
    </row>
    <row r="383" ht="15.75" customHeight="1">
      <c r="D383" s="182"/>
      <c r="E383" s="182"/>
    </row>
    <row r="384" ht="15.75" customHeight="1">
      <c r="D384" s="182"/>
      <c r="E384" s="182"/>
    </row>
    <row r="385" ht="15.75" customHeight="1">
      <c r="D385" s="182"/>
      <c r="E385" s="182"/>
    </row>
    <row r="386" ht="15.75" customHeight="1">
      <c r="D386" s="182"/>
      <c r="E386" s="182"/>
    </row>
    <row r="387" ht="15.75" customHeight="1">
      <c r="D387" s="182"/>
      <c r="E387" s="182"/>
    </row>
    <row r="388" ht="15.75" customHeight="1">
      <c r="D388" s="182"/>
      <c r="E388" s="182"/>
    </row>
    <row r="389" ht="15.75" customHeight="1">
      <c r="D389" s="182"/>
      <c r="E389" s="182"/>
    </row>
    <row r="390" ht="15.75" customHeight="1">
      <c r="D390" s="182"/>
      <c r="E390" s="182"/>
    </row>
    <row r="391" ht="15.75" customHeight="1">
      <c r="D391" s="182"/>
      <c r="E391" s="182"/>
    </row>
    <row r="392" ht="15.75" customHeight="1">
      <c r="D392" s="182"/>
      <c r="E392" s="182"/>
    </row>
    <row r="393" ht="15.75" customHeight="1">
      <c r="D393" s="182"/>
      <c r="E393" s="182"/>
    </row>
    <row r="394" ht="15.75" customHeight="1">
      <c r="D394" s="182"/>
      <c r="E394" s="182"/>
    </row>
    <row r="395" ht="15.75" customHeight="1">
      <c r="D395" s="182"/>
      <c r="E395" s="182"/>
    </row>
    <row r="396" ht="15.75" customHeight="1">
      <c r="D396" s="182"/>
      <c r="E396" s="182"/>
    </row>
    <row r="397" ht="15.75" customHeight="1">
      <c r="D397" s="182"/>
      <c r="E397" s="182"/>
    </row>
    <row r="398" ht="15.75" customHeight="1">
      <c r="D398" s="182"/>
      <c r="E398" s="182"/>
    </row>
    <row r="399" ht="15.75" customHeight="1">
      <c r="D399" s="182"/>
      <c r="E399" s="182"/>
    </row>
    <row r="400" ht="15.75" customHeight="1">
      <c r="D400" s="182"/>
      <c r="E400" s="182"/>
    </row>
    <row r="401" ht="15.75" customHeight="1">
      <c r="D401" s="182"/>
      <c r="E401" s="182"/>
    </row>
    <row r="402" ht="15.75" customHeight="1">
      <c r="D402" s="182"/>
      <c r="E402" s="182"/>
    </row>
    <row r="403" ht="15.75" customHeight="1">
      <c r="D403" s="182"/>
      <c r="E403" s="182"/>
    </row>
    <row r="404" ht="15.75" customHeight="1">
      <c r="D404" s="182"/>
      <c r="E404" s="182"/>
    </row>
    <row r="405" ht="15.75" customHeight="1">
      <c r="D405" s="182"/>
      <c r="E405" s="182"/>
    </row>
    <row r="406" ht="15.75" customHeight="1">
      <c r="D406" s="182"/>
      <c r="E406" s="182"/>
    </row>
    <row r="407" ht="15.75" customHeight="1">
      <c r="D407" s="182"/>
      <c r="E407" s="182"/>
    </row>
    <row r="408" ht="15.75" customHeight="1">
      <c r="D408" s="182"/>
      <c r="E408" s="182"/>
    </row>
    <row r="409" ht="15.75" customHeight="1">
      <c r="D409" s="182"/>
      <c r="E409" s="182"/>
    </row>
    <row r="410" ht="15.75" customHeight="1">
      <c r="D410" s="182"/>
      <c r="E410" s="182"/>
    </row>
    <row r="411" ht="15.75" customHeight="1">
      <c r="D411" s="182"/>
      <c r="E411" s="182"/>
    </row>
    <row r="412" ht="15.75" customHeight="1">
      <c r="D412" s="182"/>
      <c r="E412" s="182"/>
    </row>
    <row r="413" ht="15.75" customHeight="1">
      <c r="D413" s="182"/>
      <c r="E413" s="182"/>
    </row>
    <row r="414" ht="15.75" customHeight="1">
      <c r="D414" s="182"/>
      <c r="E414" s="182"/>
    </row>
    <row r="415" ht="15.75" customHeight="1">
      <c r="D415" s="182"/>
      <c r="E415" s="182"/>
    </row>
    <row r="416" ht="15.75" customHeight="1">
      <c r="D416" s="182"/>
      <c r="E416" s="182"/>
    </row>
    <row r="417" ht="15.75" customHeight="1">
      <c r="D417" s="182"/>
      <c r="E417" s="182"/>
    </row>
    <row r="418" ht="15.75" customHeight="1">
      <c r="D418" s="182"/>
      <c r="E418" s="182"/>
    </row>
    <row r="419" ht="15.75" customHeight="1">
      <c r="D419" s="182"/>
      <c r="E419" s="182"/>
    </row>
    <row r="420" ht="15.75" customHeight="1">
      <c r="D420" s="182"/>
      <c r="E420" s="182"/>
    </row>
    <row r="421" ht="15.75" customHeight="1">
      <c r="D421" s="182"/>
      <c r="E421" s="182"/>
    </row>
    <row r="422" ht="15.75" customHeight="1">
      <c r="D422" s="182"/>
      <c r="E422" s="182"/>
    </row>
    <row r="423" ht="15.75" customHeight="1">
      <c r="D423" s="182"/>
      <c r="E423" s="182"/>
    </row>
    <row r="424" ht="15.75" customHeight="1">
      <c r="D424" s="182"/>
      <c r="E424" s="182"/>
    </row>
    <row r="425" ht="15.75" customHeight="1">
      <c r="D425" s="182"/>
      <c r="E425" s="182"/>
    </row>
    <row r="426" ht="15.75" customHeight="1">
      <c r="D426" s="182"/>
      <c r="E426" s="182"/>
    </row>
    <row r="427" ht="15.75" customHeight="1">
      <c r="D427" s="182"/>
      <c r="E427" s="182"/>
    </row>
    <row r="428" ht="15.75" customHeight="1">
      <c r="D428" s="182"/>
      <c r="E428" s="182"/>
    </row>
    <row r="429" ht="15.75" customHeight="1">
      <c r="D429" s="182"/>
      <c r="E429" s="182"/>
    </row>
    <row r="430" ht="15.75" customHeight="1">
      <c r="D430" s="182"/>
      <c r="E430" s="182"/>
    </row>
    <row r="431" ht="15.75" customHeight="1">
      <c r="D431" s="182"/>
      <c r="E431" s="182"/>
    </row>
    <row r="432" ht="15.75" customHeight="1">
      <c r="D432" s="182"/>
      <c r="E432" s="182"/>
    </row>
    <row r="433" ht="15.75" customHeight="1">
      <c r="D433" s="182"/>
      <c r="E433" s="182"/>
    </row>
    <row r="434" ht="15.75" customHeight="1">
      <c r="D434" s="182"/>
      <c r="E434" s="182"/>
    </row>
    <row r="435" ht="15.75" customHeight="1">
      <c r="D435" s="182"/>
      <c r="E435" s="182"/>
    </row>
    <row r="436" ht="15.75" customHeight="1">
      <c r="D436" s="182"/>
      <c r="E436" s="182"/>
    </row>
    <row r="437" ht="15.75" customHeight="1">
      <c r="D437" s="182"/>
      <c r="E437" s="182"/>
    </row>
    <row r="438" ht="15.75" customHeight="1">
      <c r="D438" s="182"/>
      <c r="E438" s="182"/>
    </row>
    <row r="439" ht="15.75" customHeight="1">
      <c r="D439" s="182"/>
      <c r="E439" s="182"/>
    </row>
    <row r="440" ht="15.75" customHeight="1">
      <c r="D440" s="182"/>
      <c r="E440" s="182"/>
    </row>
    <row r="441" ht="15.75" customHeight="1">
      <c r="D441" s="182"/>
      <c r="E441" s="182"/>
    </row>
    <row r="442" ht="15.75" customHeight="1">
      <c r="D442" s="182"/>
      <c r="E442" s="182"/>
    </row>
    <row r="443" ht="15.75" customHeight="1">
      <c r="D443" s="182"/>
      <c r="E443" s="182"/>
    </row>
    <row r="444" ht="15.75" customHeight="1">
      <c r="D444" s="182"/>
      <c r="E444" s="182"/>
    </row>
    <row r="445" ht="15.75" customHeight="1">
      <c r="D445" s="182"/>
      <c r="E445" s="182"/>
    </row>
    <row r="446" ht="15.75" customHeight="1">
      <c r="D446" s="182"/>
      <c r="E446" s="182"/>
    </row>
    <row r="447" ht="15.75" customHeight="1">
      <c r="D447" s="182"/>
      <c r="E447" s="182"/>
    </row>
    <row r="448" ht="15.75" customHeight="1">
      <c r="D448" s="182"/>
      <c r="E448" s="182"/>
    </row>
    <row r="449" ht="15.75" customHeight="1">
      <c r="D449" s="182"/>
      <c r="E449" s="182"/>
    </row>
    <row r="450" ht="15.75" customHeight="1">
      <c r="D450" s="182"/>
      <c r="E450" s="182"/>
    </row>
    <row r="451" ht="15.75" customHeight="1">
      <c r="D451" s="182"/>
      <c r="E451" s="182"/>
    </row>
    <row r="452" ht="15.75" customHeight="1">
      <c r="D452" s="182"/>
      <c r="E452" s="182"/>
    </row>
    <row r="453" ht="15.75" customHeight="1">
      <c r="D453" s="182"/>
      <c r="E453" s="182"/>
    </row>
    <row r="454" ht="15.75" customHeight="1">
      <c r="D454" s="182"/>
      <c r="E454" s="182"/>
    </row>
    <row r="455" ht="15.75" customHeight="1">
      <c r="D455" s="182"/>
      <c r="E455" s="182"/>
    </row>
    <row r="456" ht="15.75" customHeight="1">
      <c r="D456" s="182"/>
      <c r="E456" s="182"/>
    </row>
    <row r="457" ht="15.75" customHeight="1">
      <c r="D457" s="182"/>
      <c r="E457" s="182"/>
    </row>
    <row r="458" ht="15.75" customHeight="1">
      <c r="D458" s="182"/>
      <c r="E458" s="182"/>
    </row>
    <row r="459" ht="15.75" customHeight="1">
      <c r="D459" s="182"/>
      <c r="E459" s="182"/>
    </row>
    <row r="460" ht="15.75" customHeight="1">
      <c r="D460" s="182"/>
      <c r="E460" s="182"/>
    </row>
    <row r="461" ht="15.75" customHeight="1">
      <c r="D461" s="182"/>
      <c r="E461" s="182"/>
    </row>
    <row r="462" ht="15.75" customHeight="1">
      <c r="D462" s="182"/>
      <c r="E462" s="182"/>
    </row>
    <row r="463" ht="15.75" customHeight="1">
      <c r="D463" s="182"/>
      <c r="E463" s="182"/>
    </row>
    <row r="464" ht="15.75" customHeight="1">
      <c r="D464" s="182"/>
      <c r="E464" s="182"/>
    </row>
    <row r="465" ht="15.75" customHeight="1">
      <c r="D465" s="182"/>
      <c r="E465" s="182"/>
    </row>
    <row r="466" ht="15.75" customHeight="1">
      <c r="D466" s="182"/>
      <c r="E466" s="182"/>
    </row>
    <row r="467" ht="15.75" customHeight="1">
      <c r="D467" s="182"/>
      <c r="E467" s="182"/>
    </row>
    <row r="468" ht="15.75" customHeight="1">
      <c r="D468" s="182"/>
      <c r="E468" s="182"/>
    </row>
    <row r="469" ht="15.75" customHeight="1">
      <c r="D469" s="182"/>
      <c r="E469" s="182"/>
    </row>
    <row r="470" ht="15.75" customHeight="1">
      <c r="D470" s="182"/>
      <c r="E470" s="182"/>
    </row>
    <row r="471" ht="15.75" customHeight="1">
      <c r="D471" s="182"/>
      <c r="E471" s="182"/>
    </row>
    <row r="472" ht="15.75" customHeight="1">
      <c r="D472" s="182"/>
      <c r="E472" s="182"/>
    </row>
    <row r="473" ht="15.75" customHeight="1">
      <c r="D473" s="182"/>
      <c r="E473" s="182"/>
    </row>
    <row r="474" ht="15.75" customHeight="1">
      <c r="D474" s="182"/>
      <c r="E474" s="182"/>
    </row>
    <row r="475" ht="15.75" customHeight="1">
      <c r="D475" s="182"/>
      <c r="E475" s="182"/>
    </row>
    <row r="476" ht="15.75" customHeight="1">
      <c r="D476" s="182"/>
      <c r="E476" s="182"/>
    </row>
    <row r="477" ht="15.75" customHeight="1">
      <c r="D477" s="182"/>
      <c r="E477" s="182"/>
    </row>
    <row r="478" ht="15.75" customHeight="1">
      <c r="D478" s="182"/>
      <c r="E478" s="182"/>
    </row>
    <row r="479" ht="15.75" customHeight="1">
      <c r="D479" s="182"/>
      <c r="E479" s="182"/>
    </row>
    <row r="480" ht="15.75" customHeight="1">
      <c r="D480" s="182"/>
      <c r="E480" s="182"/>
    </row>
    <row r="481" ht="15.75" customHeight="1">
      <c r="D481" s="182"/>
      <c r="E481" s="182"/>
    </row>
    <row r="482" ht="15.75" customHeight="1">
      <c r="D482" s="182"/>
      <c r="E482" s="182"/>
    </row>
    <row r="483" ht="15.75" customHeight="1">
      <c r="D483" s="182"/>
      <c r="E483" s="182"/>
    </row>
    <row r="484" ht="15.75" customHeight="1">
      <c r="D484" s="182"/>
      <c r="E484" s="182"/>
    </row>
    <row r="485" ht="15.75" customHeight="1">
      <c r="D485" s="182"/>
      <c r="E485" s="182"/>
    </row>
    <row r="486" ht="15.75" customHeight="1">
      <c r="D486" s="182"/>
      <c r="E486" s="182"/>
    </row>
    <row r="487" ht="15.75" customHeight="1">
      <c r="D487" s="182"/>
      <c r="E487" s="182"/>
    </row>
    <row r="488" ht="15.75" customHeight="1">
      <c r="D488" s="182"/>
      <c r="E488" s="182"/>
    </row>
    <row r="489" ht="15.75" customHeight="1">
      <c r="D489" s="182"/>
      <c r="E489" s="182"/>
    </row>
    <row r="490" ht="15.75" customHeight="1">
      <c r="D490" s="182"/>
      <c r="E490" s="182"/>
    </row>
    <row r="491" ht="15.75" customHeight="1">
      <c r="D491" s="182"/>
      <c r="E491" s="182"/>
    </row>
    <row r="492" ht="15.75" customHeight="1">
      <c r="D492" s="182"/>
      <c r="E492" s="182"/>
    </row>
    <row r="493" ht="15.75" customHeight="1">
      <c r="D493" s="182"/>
      <c r="E493" s="182"/>
    </row>
    <row r="494" ht="15.75" customHeight="1">
      <c r="D494" s="182"/>
      <c r="E494" s="182"/>
    </row>
    <row r="495" ht="15.75" customHeight="1">
      <c r="D495" s="182"/>
      <c r="E495" s="182"/>
    </row>
    <row r="496" ht="15.75" customHeight="1">
      <c r="D496" s="182"/>
      <c r="E496" s="182"/>
    </row>
    <row r="497" ht="15.75" customHeight="1">
      <c r="D497" s="182"/>
      <c r="E497" s="182"/>
    </row>
    <row r="498" ht="15.75" customHeight="1">
      <c r="D498" s="182"/>
      <c r="E498" s="182"/>
    </row>
    <row r="499" ht="15.75" customHeight="1">
      <c r="D499" s="182"/>
      <c r="E499" s="182"/>
    </row>
    <row r="500" ht="15.75" customHeight="1">
      <c r="D500" s="182"/>
      <c r="E500" s="182"/>
    </row>
    <row r="501" ht="15.75" customHeight="1">
      <c r="D501" s="182"/>
      <c r="E501" s="182"/>
    </row>
    <row r="502" ht="15.75" customHeight="1">
      <c r="D502" s="182"/>
      <c r="E502" s="182"/>
    </row>
    <row r="503" ht="15.75" customHeight="1">
      <c r="D503" s="182"/>
      <c r="E503" s="182"/>
    </row>
    <row r="504" ht="15.75" customHeight="1">
      <c r="D504" s="182"/>
      <c r="E504" s="182"/>
    </row>
    <row r="505" ht="15.75" customHeight="1">
      <c r="D505" s="182"/>
      <c r="E505" s="182"/>
    </row>
    <row r="506" ht="15.75" customHeight="1">
      <c r="D506" s="182"/>
      <c r="E506" s="182"/>
    </row>
    <row r="507" ht="15.75" customHeight="1">
      <c r="D507" s="182"/>
      <c r="E507" s="182"/>
    </row>
    <row r="508" ht="15.75" customHeight="1">
      <c r="D508" s="182"/>
      <c r="E508" s="182"/>
    </row>
    <row r="509" ht="15.75" customHeight="1">
      <c r="D509" s="182"/>
      <c r="E509" s="182"/>
    </row>
    <row r="510" ht="15.75" customHeight="1">
      <c r="D510" s="182"/>
      <c r="E510" s="182"/>
    </row>
    <row r="511" ht="15.75" customHeight="1">
      <c r="D511" s="182"/>
      <c r="E511" s="182"/>
    </row>
    <row r="512" ht="15.75" customHeight="1">
      <c r="D512" s="182"/>
      <c r="E512" s="182"/>
    </row>
    <row r="513" ht="15.75" customHeight="1">
      <c r="D513" s="182"/>
      <c r="E513" s="182"/>
    </row>
    <row r="514" ht="15.75" customHeight="1">
      <c r="D514" s="182"/>
      <c r="E514" s="182"/>
    </row>
    <row r="515" ht="15.75" customHeight="1">
      <c r="D515" s="182"/>
      <c r="E515" s="182"/>
    </row>
    <row r="516" ht="15.75" customHeight="1">
      <c r="D516" s="182"/>
      <c r="E516" s="182"/>
    </row>
    <row r="517" ht="15.75" customHeight="1">
      <c r="D517" s="182"/>
      <c r="E517" s="182"/>
    </row>
    <row r="518" ht="15.75" customHeight="1">
      <c r="D518" s="182"/>
      <c r="E518" s="182"/>
    </row>
    <row r="519" ht="15.75" customHeight="1">
      <c r="D519" s="182"/>
      <c r="E519" s="182"/>
    </row>
    <row r="520" ht="15.75" customHeight="1">
      <c r="D520" s="182"/>
      <c r="E520" s="182"/>
    </row>
    <row r="521" ht="15.75" customHeight="1">
      <c r="D521" s="182"/>
      <c r="E521" s="182"/>
    </row>
    <row r="522" ht="15.75" customHeight="1">
      <c r="D522" s="182"/>
      <c r="E522" s="182"/>
    </row>
    <row r="523" ht="15.75" customHeight="1">
      <c r="D523" s="182"/>
      <c r="E523" s="182"/>
    </row>
    <row r="524" ht="15.75" customHeight="1">
      <c r="D524" s="182"/>
      <c r="E524" s="182"/>
    </row>
    <row r="525" ht="15.75" customHeight="1">
      <c r="D525" s="182"/>
      <c r="E525" s="182"/>
    </row>
    <row r="526" ht="15.75" customHeight="1">
      <c r="D526" s="182"/>
      <c r="E526" s="182"/>
    </row>
    <row r="527" ht="15.75" customHeight="1">
      <c r="D527" s="182"/>
      <c r="E527" s="182"/>
    </row>
    <row r="528" ht="15.75" customHeight="1">
      <c r="D528" s="182"/>
      <c r="E528" s="182"/>
    </row>
    <row r="529" ht="15.75" customHeight="1">
      <c r="D529" s="182"/>
      <c r="E529" s="182"/>
    </row>
    <row r="530" ht="15.75" customHeight="1">
      <c r="D530" s="182"/>
      <c r="E530" s="182"/>
    </row>
    <row r="531" ht="15.75" customHeight="1">
      <c r="D531" s="182"/>
      <c r="E531" s="182"/>
    </row>
    <row r="532" ht="15.75" customHeight="1">
      <c r="D532" s="182"/>
      <c r="E532" s="182"/>
    </row>
    <row r="533" ht="15.75" customHeight="1">
      <c r="D533" s="182"/>
      <c r="E533" s="182"/>
    </row>
    <row r="534" ht="15.75" customHeight="1">
      <c r="D534" s="182"/>
      <c r="E534" s="182"/>
    </row>
    <row r="535" ht="15.75" customHeight="1">
      <c r="D535" s="182"/>
      <c r="E535" s="182"/>
    </row>
    <row r="536" ht="15.75" customHeight="1">
      <c r="D536" s="182"/>
      <c r="E536" s="182"/>
    </row>
    <row r="537" ht="15.75" customHeight="1">
      <c r="D537" s="182"/>
      <c r="E537" s="182"/>
    </row>
    <row r="538" ht="15.75" customHeight="1">
      <c r="D538" s="182"/>
      <c r="E538" s="182"/>
    </row>
    <row r="539" ht="15.75" customHeight="1">
      <c r="D539" s="182"/>
      <c r="E539" s="182"/>
    </row>
    <row r="540" ht="15.75" customHeight="1">
      <c r="D540" s="182"/>
      <c r="E540" s="182"/>
    </row>
    <row r="541" ht="15.75" customHeight="1">
      <c r="D541" s="182"/>
      <c r="E541" s="182"/>
    </row>
    <row r="542" ht="15.75" customHeight="1">
      <c r="D542" s="182"/>
      <c r="E542" s="182"/>
    </row>
    <row r="543" ht="15.75" customHeight="1">
      <c r="D543" s="182"/>
      <c r="E543" s="182"/>
    </row>
    <row r="544" ht="15.75" customHeight="1">
      <c r="D544" s="182"/>
      <c r="E544" s="182"/>
    </row>
    <row r="545" ht="15.75" customHeight="1">
      <c r="D545" s="182"/>
      <c r="E545" s="182"/>
    </row>
    <row r="546" ht="15.75" customHeight="1">
      <c r="D546" s="182"/>
      <c r="E546" s="182"/>
    </row>
    <row r="547" ht="15.75" customHeight="1">
      <c r="D547" s="182"/>
      <c r="E547" s="182"/>
    </row>
    <row r="548" ht="15.75" customHeight="1">
      <c r="D548" s="182"/>
      <c r="E548" s="182"/>
    </row>
    <row r="549" ht="15.75" customHeight="1">
      <c r="D549" s="182"/>
      <c r="E549" s="182"/>
    </row>
    <row r="550" ht="15.75" customHeight="1">
      <c r="D550" s="182"/>
      <c r="E550" s="182"/>
    </row>
    <row r="551" ht="15.75" customHeight="1">
      <c r="D551" s="182"/>
      <c r="E551" s="182"/>
    </row>
    <row r="552" ht="15.75" customHeight="1">
      <c r="D552" s="182"/>
      <c r="E552" s="182"/>
    </row>
    <row r="553" ht="15.75" customHeight="1">
      <c r="D553" s="182"/>
      <c r="E553" s="182"/>
    </row>
    <row r="554" ht="15.75" customHeight="1">
      <c r="D554" s="182"/>
      <c r="E554" s="182"/>
    </row>
    <row r="555" ht="15.75" customHeight="1">
      <c r="D555" s="182"/>
      <c r="E555" s="182"/>
    </row>
    <row r="556" ht="15.75" customHeight="1">
      <c r="D556" s="182"/>
      <c r="E556" s="182"/>
    </row>
    <row r="557" ht="15.75" customHeight="1">
      <c r="D557" s="182"/>
      <c r="E557" s="182"/>
    </row>
    <row r="558" ht="15.75" customHeight="1">
      <c r="D558" s="182"/>
      <c r="E558" s="182"/>
    </row>
    <row r="559" ht="15.75" customHeight="1">
      <c r="D559" s="182"/>
      <c r="E559" s="182"/>
    </row>
    <row r="560" ht="15.75" customHeight="1">
      <c r="D560" s="182"/>
      <c r="E560" s="182"/>
    </row>
    <row r="561" ht="15.75" customHeight="1">
      <c r="D561" s="182"/>
      <c r="E561" s="182"/>
    </row>
    <row r="562" ht="15.75" customHeight="1">
      <c r="D562" s="182"/>
      <c r="E562" s="182"/>
    </row>
    <row r="563" ht="15.75" customHeight="1">
      <c r="D563" s="182"/>
      <c r="E563" s="182"/>
    </row>
    <row r="564" ht="15.75" customHeight="1">
      <c r="D564" s="182"/>
      <c r="E564" s="182"/>
    </row>
    <row r="565" ht="15.75" customHeight="1">
      <c r="D565" s="182"/>
      <c r="E565" s="182"/>
    </row>
    <row r="566" ht="15.75" customHeight="1">
      <c r="D566" s="182"/>
      <c r="E566" s="182"/>
    </row>
    <row r="567" ht="15.75" customHeight="1">
      <c r="D567" s="182"/>
      <c r="E567" s="182"/>
    </row>
    <row r="568" ht="15.75" customHeight="1">
      <c r="D568" s="182"/>
      <c r="E568" s="182"/>
    </row>
    <row r="569" ht="15.75" customHeight="1">
      <c r="D569" s="182"/>
      <c r="E569" s="182"/>
    </row>
    <row r="570" ht="15.75" customHeight="1">
      <c r="D570" s="182"/>
      <c r="E570" s="182"/>
    </row>
    <row r="571" ht="15.75" customHeight="1">
      <c r="D571" s="182"/>
      <c r="E571" s="182"/>
    </row>
    <row r="572" ht="15.75" customHeight="1">
      <c r="D572" s="182"/>
      <c r="E572" s="182"/>
    </row>
    <row r="573" ht="15.75" customHeight="1">
      <c r="D573" s="182"/>
      <c r="E573" s="182"/>
    </row>
    <row r="574" ht="15.75" customHeight="1">
      <c r="D574" s="182"/>
      <c r="E574" s="182"/>
    </row>
    <row r="575" ht="15.75" customHeight="1">
      <c r="D575" s="182"/>
      <c r="E575" s="182"/>
    </row>
    <row r="576" ht="15.75" customHeight="1">
      <c r="D576" s="182"/>
      <c r="E576" s="182"/>
    </row>
    <row r="577" ht="15.75" customHeight="1">
      <c r="D577" s="182"/>
      <c r="E577" s="182"/>
    </row>
    <row r="578" ht="15.75" customHeight="1">
      <c r="D578" s="182"/>
      <c r="E578" s="182"/>
    </row>
    <row r="579" ht="15.75" customHeight="1">
      <c r="D579" s="182"/>
      <c r="E579" s="182"/>
    </row>
    <row r="580" ht="15.75" customHeight="1">
      <c r="D580" s="182"/>
      <c r="E580" s="182"/>
    </row>
    <row r="581" ht="15.75" customHeight="1">
      <c r="D581" s="182"/>
      <c r="E581" s="182"/>
    </row>
    <row r="582" ht="15.75" customHeight="1">
      <c r="D582" s="182"/>
      <c r="E582" s="182"/>
    </row>
    <row r="583" ht="15.75" customHeight="1">
      <c r="D583" s="182"/>
      <c r="E583" s="182"/>
    </row>
    <row r="584" ht="15.75" customHeight="1">
      <c r="D584" s="182"/>
      <c r="E584" s="182"/>
    </row>
    <row r="585" ht="15.75" customHeight="1">
      <c r="D585" s="182"/>
      <c r="E585" s="182"/>
    </row>
    <row r="586" ht="15.75" customHeight="1">
      <c r="D586" s="182"/>
      <c r="E586" s="182"/>
    </row>
    <row r="587" ht="15.75" customHeight="1">
      <c r="D587" s="182"/>
      <c r="E587" s="182"/>
    </row>
    <row r="588" ht="15.75" customHeight="1">
      <c r="D588" s="182"/>
      <c r="E588" s="182"/>
    </row>
    <row r="589" ht="15.75" customHeight="1">
      <c r="D589" s="182"/>
      <c r="E589" s="182"/>
    </row>
    <row r="590" ht="15.75" customHeight="1">
      <c r="D590" s="182"/>
      <c r="E590" s="182"/>
    </row>
    <row r="591" ht="15.75" customHeight="1">
      <c r="D591" s="182"/>
      <c r="E591" s="182"/>
    </row>
    <row r="592" ht="15.75" customHeight="1">
      <c r="D592" s="182"/>
      <c r="E592" s="182"/>
    </row>
    <row r="593" ht="15.75" customHeight="1">
      <c r="D593" s="182"/>
      <c r="E593" s="182"/>
    </row>
    <row r="594" ht="15.75" customHeight="1">
      <c r="D594" s="182"/>
      <c r="E594" s="182"/>
    </row>
    <row r="595" ht="15.75" customHeight="1">
      <c r="D595" s="182"/>
      <c r="E595" s="182"/>
    </row>
    <row r="596" ht="15.75" customHeight="1">
      <c r="D596" s="182"/>
      <c r="E596" s="182"/>
    </row>
    <row r="597" ht="15.75" customHeight="1">
      <c r="D597" s="182"/>
      <c r="E597" s="182"/>
    </row>
    <row r="598" ht="15.75" customHeight="1">
      <c r="D598" s="182"/>
      <c r="E598" s="182"/>
    </row>
    <row r="599" ht="15.75" customHeight="1">
      <c r="D599" s="182"/>
      <c r="E599" s="182"/>
    </row>
    <row r="600" ht="15.75" customHeight="1">
      <c r="D600" s="182"/>
      <c r="E600" s="182"/>
    </row>
    <row r="601" ht="15.75" customHeight="1">
      <c r="D601" s="182"/>
      <c r="E601" s="182"/>
    </row>
    <row r="602" ht="15.75" customHeight="1">
      <c r="D602" s="182"/>
      <c r="E602" s="182"/>
    </row>
    <row r="603" ht="15.75" customHeight="1">
      <c r="D603" s="182"/>
      <c r="E603" s="182"/>
    </row>
    <row r="604" ht="15.75" customHeight="1">
      <c r="D604" s="182"/>
      <c r="E604" s="182"/>
    </row>
    <row r="605" ht="15.75" customHeight="1">
      <c r="D605" s="182"/>
      <c r="E605" s="182"/>
    </row>
    <row r="606" ht="15.75" customHeight="1">
      <c r="D606" s="182"/>
      <c r="E606" s="182"/>
    </row>
    <row r="607" ht="15.75" customHeight="1">
      <c r="D607" s="182"/>
      <c r="E607" s="182"/>
    </row>
    <row r="608" ht="15.75" customHeight="1">
      <c r="D608" s="182"/>
      <c r="E608" s="182"/>
    </row>
    <row r="609" ht="15.75" customHeight="1">
      <c r="D609" s="182"/>
      <c r="E609" s="182"/>
    </row>
    <row r="610" ht="15.75" customHeight="1">
      <c r="D610" s="182"/>
      <c r="E610" s="182"/>
    </row>
    <row r="611" ht="15.75" customHeight="1">
      <c r="D611" s="182"/>
      <c r="E611" s="182"/>
    </row>
    <row r="612" ht="15.75" customHeight="1">
      <c r="D612" s="182"/>
      <c r="E612" s="182"/>
    </row>
    <row r="613" ht="15.75" customHeight="1">
      <c r="D613" s="182"/>
      <c r="E613" s="182"/>
    </row>
    <row r="614" ht="15.75" customHeight="1">
      <c r="D614" s="182"/>
      <c r="E614" s="182"/>
    </row>
    <row r="615" ht="15.75" customHeight="1">
      <c r="D615" s="182"/>
      <c r="E615" s="182"/>
    </row>
    <row r="616" ht="15.75" customHeight="1">
      <c r="D616" s="182"/>
      <c r="E616" s="182"/>
    </row>
    <row r="617" ht="15.75" customHeight="1">
      <c r="D617" s="182"/>
      <c r="E617" s="182"/>
    </row>
    <row r="618" ht="15.75" customHeight="1">
      <c r="D618" s="182"/>
      <c r="E618" s="182"/>
    </row>
    <row r="619" ht="15.75" customHeight="1">
      <c r="D619" s="182"/>
      <c r="E619" s="182"/>
    </row>
    <row r="620" ht="15.75" customHeight="1">
      <c r="D620" s="182"/>
      <c r="E620" s="182"/>
    </row>
    <row r="621" ht="15.75" customHeight="1">
      <c r="D621" s="182"/>
      <c r="E621" s="182"/>
    </row>
    <row r="622" ht="15.75" customHeight="1">
      <c r="D622" s="182"/>
      <c r="E622" s="182"/>
    </row>
    <row r="623" ht="15.75" customHeight="1">
      <c r="D623" s="182"/>
      <c r="E623" s="182"/>
    </row>
    <row r="624" ht="15.75" customHeight="1">
      <c r="D624" s="182"/>
      <c r="E624" s="182"/>
    </row>
    <row r="625" ht="15.75" customHeight="1">
      <c r="D625" s="182"/>
      <c r="E625" s="182"/>
    </row>
    <row r="626" ht="15.75" customHeight="1">
      <c r="D626" s="182"/>
      <c r="E626" s="182"/>
    </row>
    <row r="627" ht="15.75" customHeight="1">
      <c r="D627" s="182"/>
      <c r="E627" s="182"/>
    </row>
    <row r="628" ht="15.75" customHeight="1">
      <c r="D628" s="182"/>
      <c r="E628" s="182"/>
    </row>
    <row r="629" ht="15.75" customHeight="1">
      <c r="D629" s="182"/>
      <c r="E629" s="182"/>
    </row>
    <row r="630" ht="15.75" customHeight="1">
      <c r="D630" s="182"/>
      <c r="E630" s="182"/>
    </row>
    <row r="631" ht="15.75" customHeight="1">
      <c r="D631" s="182"/>
      <c r="E631" s="182"/>
    </row>
    <row r="632" ht="15.75" customHeight="1">
      <c r="D632" s="182"/>
      <c r="E632" s="182"/>
    </row>
    <row r="633" ht="15.75" customHeight="1">
      <c r="D633" s="182"/>
      <c r="E633" s="182"/>
    </row>
    <row r="634" ht="15.75" customHeight="1">
      <c r="D634" s="182"/>
      <c r="E634" s="182"/>
    </row>
    <row r="635" ht="15.75" customHeight="1">
      <c r="D635" s="182"/>
      <c r="E635" s="182"/>
    </row>
    <row r="636" ht="15.75" customHeight="1">
      <c r="D636" s="182"/>
      <c r="E636" s="182"/>
    </row>
    <row r="637" ht="15.75" customHeight="1">
      <c r="D637" s="182"/>
      <c r="E637" s="182"/>
    </row>
    <row r="638" ht="15.75" customHeight="1">
      <c r="D638" s="182"/>
      <c r="E638" s="182"/>
    </row>
    <row r="639" ht="15.75" customHeight="1">
      <c r="D639" s="182"/>
      <c r="E639" s="182"/>
    </row>
    <row r="640" ht="15.75" customHeight="1">
      <c r="D640" s="182"/>
      <c r="E640" s="182"/>
    </row>
    <row r="641" ht="15.75" customHeight="1">
      <c r="D641" s="182"/>
      <c r="E641" s="182"/>
    </row>
    <row r="642" ht="15.75" customHeight="1">
      <c r="D642" s="182"/>
      <c r="E642" s="182"/>
    </row>
    <row r="643" ht="15.75" customHeight="1">
      <c r="D643" s="182"/>
      <c r="E643" s="182"/>
    </row>
    <row r="644" ht="15.75" customHeight="1">
      <c r="D644" s="182"/>
      <c r="E644" s="182"/>
    </row>
    <row r="645" ht="15.75" customHeight="1">
      <c r="D645" s="182"/>
      <c r="E645" s="182"/>
    </row>
    <row r="646" ht="15.75" customHeight="1">
      <c r="D646" s="182"/>
      <c r="E646" s="182"/>
    </row>
    <row r="647" ht="15.75" customHeight="1">
      <c r="D647" s="182"/>
      <c r="E647" s="182"/>
    </row>
    <row r="648" ht="15.75" customHeight="1">
      <c r="D648" s="182"/>
      <c r="E648" s="182"/>
    </row>
    <row r="649" ht="15.75" customHeight="1">
      <c r="D649" s="182"/>
      <c r="E649" s="182"/>
    </row>
    <row r="650" ht="15.75" customHeight="1">
      <c r="D650" s="182"/>
      <c r="E650" s="182"/>
    </row>
    <row r="651" ht="15.75" customHeight="1">
      <c r="D651" s="182"/>
      <c r="E651" s="182"/>
    </row>
    <row r="652" ht="15.75" customHeight="1">
      <c r="D652" s="182"/>
      <c r="E652" s="182"/>
    </row>
    <row r="653" ht="15.75" customHeight="1">
      <c r="D653" s="182"/>
      <c r="E653" s="182"/>
    </row>
    <row r="654" ht="15.75" customHeight="1">
      <c r="D654" s="182"/>
      <c r="E654" s="182"/>
    </row>
    <row r="655" ht="15.75" customHeight="1">
      <c r="D655" s="182"/>
      <c r="E655" s="182"/>
    </row>
    <row r="656" ht="15.75" customHeight="1">
      <c r="D656" s="182"/>
      <c r="E656" s="182"/>
    </row>
    <row r="657" ht="15.75" customHeight="1">
      <c r="D657" s="182"/>
      <c r="E657" s="182"/>
    </row>
    <row r="658" ht="15.75" customHeight="1">
      <c r="D658" s="182"/>
      <c r="E658" s="182"/>
    </row>
    <row r="659" ht="15.75" customHeight="1">
      <c r="D659" s="182"/>
      <c r="E659" s="182"/>
    </row>
    <row r="660" ht="15.75" customHeight="1">
      <c r="D660" s="182"/>
      <c r="E660" s="182"/>
    </row>
    <row r="661" ht="15.75" customHeight="1">
      <c r="D661" s="182"/>
      <c r="E661" s="182"/>
    </row>
    <row r="662" ht="15.75" customHeight="1">
      <c r="D662" s="182"/>
      <c r="E662" s="182"/>
    </row>
    <row r="663" ht="15.75" customHeight="1">
      <c r="D663" s="182"/>
      <c r="E663" s="182"/>
    </row>
    <row r="664" ht="15.75" customHeight="1">
      <c r="D664" s="182"/>
      <c r="E664" s="182"/>
    </row>
    <row r="665" ht="15.75" customHeight="1">
      <c r="D665" s="182"/>
      <c r="E665" s="182"/>
    </row>
    <row r="666" ht="15.75" customHeight="1">
      <c r="D666" s="182"/>
      <c r="E666" s="182"/>
    </row>
    <row r="667" ht="15.75" customHeight="1">
      <c r="D667" s="182"/>
      <c r="E667" s="182"/>
    </row>
    <row r="668" ht="15.75" customHeight="1">
      <c r="D668" s="182"/>
      <c r="E668" s="182"/>
    </row>
    <row r="669" ht="15.75" customHeight="1">
      <c r="D669" s="182"/>
      <c r="E669" s="182"/>
    </row>
    <row r="670" ht="15.75" customHeight="1">
      <c r="D670" s="182"/>
      <c r="E670" s="182"/>
    </row>
    <row r="671" ht="15.75" customHeight="1">
      <c r="D671" s="182"/>
      <c r="E671" s="182"/>
    </row>
    <row r="672" ht="15.75" customHeight="1">
      <c r="D672" s="182"/>
      <c r="E672" s="182"/>
    </row>
    <row r="673" ht="15.75" customHeight="1">
      <c r="D673" s="182"/>
      <c r="E673" s="182"/>
    </row>
    <row r="674" ht="15.75" customHeight="1">
      <c r="D674" s="182"/>
      <c r="E674" s="182"/>
    </row>
    <row r="675" ht="15.75" customHeight="1">
      <c r="D675" s="182"/>
      <c r="E675" s="182"/>
    </row>
    <row r="676" ht="15.75" customHeight="1">
      <c r="D676" s="182"/>
      <c r="E676" s="182"/>
    </row>
    <row r="677" ht="15.75" customHeight="1">
      <c r="D677" s="182"/>
      <c r="E677" s="182"/>
    </row>
    <row r="678" ht="15.75" customHeight="1">
      <c r="D678" s="182"/>
      <c r="E678" s="182"/>
    </row>
    <row r="679" ht="15.75" customHeight="1">
      <c r="D679" s="182"/>
      <c r="E679" s="182"/>
    </row>
    <row r="680" ht="15.75" customHeight="1">
      <c r="D680" s="182"/>
      <c r="E680" s="182"/>
    </row>
    <row r="681" ht="15.75" customHeight="1">
      <c r="D681" s="182"/>
      <c r="E681" s="182"/>
    </row>
    <row r="682" ht="15.75" customHeight="1">
      <c r="D682" s="182"/>
      <c r="E682" s="182"/>
    </row>
    <row r="683" ht="15.75" customHeight="1">
      <c r="D683" s="182"/>
      <c r="E683" s="182"/>
    </row>
    <row r="684" ht="15.75" customHeight="1">
      <c r="D684" s="182"/>
      <c r="E684" s="182"/>
    </row>
    <row r="685" ht="15.75" customHeight="1">
      <c r="D685" s="182"/>
      <c r="E685" s="182"/>
    </row>
    <row r="686" ht="15.75" customHeight="1">
      <c r="D686" s="182"/>
      <c r="E686" s="182"/>
    </row>
    <row r="687" ht="15.75" customHeight="1">
      <c r="D687" s="182"/>
      <c r="E687" s="182"/>
    </row>
    <row r="688" ht="15.75" customHeight="1">
      <c r="D688" s="182"/>
      <c r="E688" s="182"/>
    </row>
    <row r="689" ht="15.75" customHeight="1">
      <c r="D689" s="182"/>
      <c r="E689" s="182"/>
    </row>
    <row r="690" ht="15.75" customHeight="1">
      <c r="D690" s="182"/>
      <c r="E690" s="182"/>
    </row>
    <row r="691" ht="15.75" customHeight="1">
      <c r="D691" s="182"/>
      <c r="E691" s="182"/>
    </row>
    <row r="692" ht="15.75" customHeight="1">
      <c r="D692" s="182"/>
      <c r="E692" s="182"/>
    </row>
    <row r="693" ht="15.75" customHeight="1">
      <c r="D693" s="182"/>
      <c r="E693" s="182"/>
    </row>
    <row r="694" ht="15.75" customHeight="1">
      <c r="D694" s="182"/>
      <c r="E694" s="182"/>
    </row>
    <row r="695" ht="15.75" customHeight="1">
      <c r="D695" s="182"/>
      <c r="E695" s="182"/>
    </row>
    <row r="696" ht="15.75" customHeight="1">
      <c r="D696" s="182"/>
      <c r="E696" s="182"/>
    </row>
    <row r="697" ht="15.75" customHeight="1">
      <c r="D697" s="182"/>
      <c r="E697" s="182"/>
    </row>
    <row r="698" ht="15.75" customHeight="1">
      <c r="D698" s="182"/>
      <c r="E698" s="182"/>
    </row>
    <row r="699" ht="15.75" customHeight="1">
      <c r="D699" s="182"/>
      <c r="E699" s="182"/>
    </row>
    <row r="700" ht="15.75" customHeight="1">
      <c r="D700" s="182"/>
      <c r="E700" s="182"/>
    </row>
    <row r="701" ht="15.75" customHeight="1">
      <c r="D701" s="182"/>
      <c r="E701" s="182"/>
    </row>
    <row r="702" ht="15.75" customHeight="1">
      <c r="D702" s="182"/>
      <c r="E702" s="182"/>
    </row>
    <row r="703" ht="15.75" customHeight="1">
      <c r="D703" s="182"/>
      <c r="E703" s="182"/>
    </row>
    <row r="704" ht="15.75" customHeight="1">
      <c r="D704" s="182"/>
      <c r="E704" s="182"/>
    </row>
    <row r="705" ht="15.75" customHeight="1">
      <c r="D705" s="182"/>
      <c r="E705" s="182"/>
    </row>
    <row r="706" ht="15.75" customHeight="1">
      <c r="D706" s="182"/>
      <c r="E706" s="182"/>
    </row>
    <row r="707" ht="15.75" customHeight="1">
      <c r="D707" s="182"/>
      <c r="E707" s="182"/>
    </row>
    <row r="708" ht="15.75" customHeight="1">
      <c r="D708" s="182"/>
      <c r="E708" s="182"/>
    </row>
    <row r="709" ht="15.75" customHeight="1">
      <c r="D709" s="182"/>
      <c r="E709" s="182"/>
    </row>
    <row r="710" ht="15.75" customHeight="1">
      <c r="D710" s="182"/>
      <c r="E710" s="182"/>
    </row>
    <row r="711" ht="15.75" customHeight="1">
      <c r="D711" s="182"/>
      <c r="E711" s="182"/>
    </row>
    <row r="712" ht="15.75" customHeight="1">
      <c r="D712" s="182"/>
      <c r="E712" s="182"/>
    </row>
    <row r="713" ht="15.75" customHeight="1">
      <c r="D713" s="182"/>
      <c r="E713" s="182"/>
    </row>
    <row r="714" ht="15.75" customHeight="1">
      <c r="D714" s="182"/>
      <c r="E714" s="182"/>
    </row>
    <row r="715" ht="15.75" customHeight="1">
      <c r="D715" s="182"/>
      <c r="E715" s="182"/>
    </row>
    <row r="716" ht="15.75" customHeight="1">
      <c r="D716" s="182"/>
      <c r="E716" s="182"/>
    </row>
    <row r="717" ht="15.75" customHeight="1">
      <c r="D717" s="182"/>
      <c r="E717" s="182"/>
    </row>
    <row r="718" ht="15.75" customHeight="1">
      <c r="D718" s="182"/>
      <c r="E718" s="182"/>
    </row>
    <row r="719" ht="15.75" customHeight="1">
      <c r="D719" s="182"/>
      <c r="E719" s="182"/>
    </row>
    <row r="720" ht="15.75" customHeight="1">
      <c r="D720" s="182"/>
      <c r="E720" s="182"/>
    </row>
    <row r="721" ht="15.75" customHeight="1">
      <c r="D721" s="182"/>
      <c r="E721" s="182"/>
    </row>
    <row r="722" ht="15.75" customHeight="1">
      <c r="D722" s="182"/>
      <c r="E722" s="182"/>
    </row>
    <row r="723" ht="15.75" customHeight="1">
      <c r="D723" s="182"/>
      <c r="E723" s="182"/>
    </row>
    <row r="724" ht="15.75" customHeight="1">
      <c r="D724" s="182"/>
      <c r="E724" s="182"/>
    </row>
    <row r="725" ht="15.75" customHeight="1">
      <c r="D725" s="182"/>
      <c r="E725" s="182"/>
    </row>
    <row r="726" ht="15.75" customHeight="1">
      <c r="D726" s="182"/>
      <c r="E726" s="182"/>
    </row>
    <row r="727" ht="15.75" customHeight="1">
      <c r="D727" s="182"/>
      <c r="E727" s="182"/>
    </row>
    <row r="728" ht="15.75" customHeight="1">
      <c r="D728" s="182"/>
      <c r="E728" s="182"/>
    </row>
    <row r="729" ht="15.75" customHeight="1">
      <c r="D729" s="182"/>
      <c r="E729" s="182"/>
    </row>
    <row r="730" ht="15.75" customHeight="1">
      <c r="D730" s="182"/>
      <c r="E730" s="182"/>
    </row>
    <row r="731" ht="15.75" customHeight="1">
      <c r="D731" s="182"/>
      <c r="E731" s="182"/>
    </row>
    <row r="732" ht="15.75" customHeight="1">
      <c r="D732" s="182"/>
      <c r="E732" s="182"/>
    </row>
    <row r="733" ht="15.75" customHeight="1">
      <c r="D733" s="182"/>
      <c r="E733" s="182"/>
    </row>
    <row r="734" ht="15.75" customHeight="1">
      <c r="D734" s="182"/>
      <c r="E734" s="182"/>
    </row>
    <row r="735" ht="15.75" customHeight="1">
      <c r="D735" s="182"/>
      <c r="E735" s="182"/>
    </row>
    <row r="736" ht="15.75" customHeight="1">
      <c r="D736" s="182"/>
      <c r="E736" s="182"/>
    </row>
    <row r="737" ht="15.75" customHeight="1">
      <c r="D737" s="182"/>
      <c r="E737" s="182"/>
    </row>
    <row r="738" ht="15.75" customHeight="1">
      <c r="D738" s="182"/>
      <c r="E738" s="182"/>
    </row>
    <row r="739" ht="15.75" customHeight="1">
      <c r="D739" s="182"/>
      <c r="E739" s="182"/>
    </row>
    <row r="740" ht="15.75" customHeight="1">
      <c r="D740" s="182"/>
      <c r="E740" s="182"/>
    </row>
    <row r="741" ht="15.75" customHeight="1">
      <c r="D741" s="182"/>
      <c r="E741" s="182"/>
    </row>
    <row r="742" ht="15.75" customHeight="1">
      <c r="D742" s="182"/>
      <c r="E742" s="182"/>
    </row>
    <row r="743" ht="15.75" customHeight="1">
      <c r="D743" s="182"/>
      <c r="E743" s="182"/>
    </row>
    <row r="744" ht="15.75" customHeight="1">
      <c r="D744" s="182"/>
      <c r="E744" s="182"/>
    </row>
    <row r="745" ht="15.75" customHeight="1">
      <c r="D745" s="182"/>
      <c r="E745" s="182"/>
    </row>
    <row r="746" ht="15.75" customHeight="1">
      <c r="D746" s="182"/>
      <c r="E746" s="182"/>
    </row>
    <row r="747" ht="15.75" customHeight="1">
      <c r="D747" s="182"/>
      <c r="E747" s="182"/>
    </row>
    <row r="748" ht="15.75" customHeight="1">
      <c r="D748" s="182"/>
      <c r="E748" s="182"/>
    </row>
    <row r="749" ht="15.75" customHeight="1">
      <c r="D749" s="182"/>
      <c r="E749" s="182"/>
    </row>
    <row r="750" ht="15.75" customHeight="1">
      <c r="D750" s="182"/>
      <c r="E750" s="182"/>
    </row>
    <row r="751" ht="15.75" customHeight="1">
      <c r="D751" s="182"/>
      <c r="E751" s="182"/>
    </row>
    <row r="752" ht="15.75" customHeight="1">
      <c r="D752" s="182"/>
      <c r="E752" s="182"/>
    </row>
    <row r="753" ht="15.75" customHeight="1">
      <c r="D753" s="182"/>
      <c r="E753" s="182"/>
    </row>
    <row r="754" ht="15.75" customHeight="1">
      <c r="D754" s="182"/>
      <c r="E754" s="182"/>
    </row>
    <row r="755" ht="15.75" customHeight="1">
      <c r="D755" s="182"/>
      <c r="E755" s="182"/>
    </row>
    <row r="756" ht="15.75" customHeight="1">
      <c r="D756" s="182"/>
      <c r="E756" s="182"/>
    </row>
    <row r="757" ht="15.75" customHeight="1">
      <c r="D757" s="182"/>
      <c r="E757" s="182"/>
    </row>
    <row r="758" ht="15.75" customHeight="1">
      <c r="D758" s="182"/>
      <c r="E758" s="182"/>
    </row>
    <row r="759" ht="15.75" customHeight="1">
      <c r="D759" s="182"/>
      <c r="E759" s="182"/>
    </row>
    <row r="760" ht="15.75" customHeight="1">
      <c r="D760" s="182"/>
      <c r="E760" s="182"/>
    </row>
    <row r="761" ht="15.75" customHeight="1">
      <c r="D761" s="182"/>
      <c r="E761" s="182"/>
    </row>
    <row r="762" ht="15.75" customHeight="1">
      <c r="D762" s="182"/>
      <c r="E762" s="182"/>
    </row>
    <row r="763" ht="15.75" customHeight="1">
      <c r="D763" s="182"/>
      <c r="E763" s="182"/>
    </row>
    <row r="764" ht="15.75" customHeight="1">
      <c r="D764" s="182"/>
      <c r="E764" s="182"/>
    </row>
    <row r="765" ht="15.75" customHeight="1">
      <c r="D765" s="182"/>
      <c r="E765" s="182"/>
    </row>
    <row r="766" ht="15.75" customHeight="1">
      <c r="D766" s="182"/>
      <c r="E766" s="182"/>
    </row>
    <row r="767" ht="15.75" customHeight="1">
      <c r="D767" s="182"/>
      <c r="E767" s="182"/>
    </row>
    <row r="768" ht="15.75" customHeight="1">
      <c r="D768" s="182"/>
      <c r="E768" s="182"/>
    </row>
    <row r="769" ht="15.75" customHeight="1">
      <c r="D769" s="182"/>
      <c r="E769" s="182"/>
    </row>
    <row r="770" ht="15.75" customHeight="1">
      <c r="D770" s="182"/>
      <c r="E770" s="182"/>
    </row>
    <row r="771" ht="15.75" customHeight="1">
      <c r="D771" s="182"/>
      <c r="E771" s="182"/>
    </row>
    <row r="772" ht="15.75" customHeight="1">
      <c r="D772" s="182"/>
      <c r="E772" s="182"/>
    </row>
    <row r="773" ht="15.75" customHeight="1">
      <c r="D773" s="182"/>
      <c r="E773" s="182"/>
    </row>
    <row r="774" ht="15.75" customHeight="1">
      <c r="D774" s="182"/>
      <c r="E774" s="182"/>
    </row>
    <row r="775" ht="15.75" customHeight="1">
      <c r="D775" s="182"/>
      <c r="E775" s="182"/>
    </row>
    <row r="776" ht="15.75" customHeight="1">
      <c r="D776" s="182"/>
      <c r="E776" s="182"/>
    </row>
    <row r="777" ht="15.75" customHeight="1">
      <c r="D777" s="182"/>
      <c r="E777" s="182"/>
    </row>
    <row r="778" ht="15.75" customHeight="1">
      <c r="D778" s="182"/>
      <c r="E778" s="182"/>
    </row>
    <row r="779" ht="15.75" customHeight="1">
      <c r="D779" s="182"/>
      <c r="E779" s="182"/>
    </row>
    <row r="780" ht="15.75" customHeight="1">
      <c r="D780" s="182"/>
      <c r="E780" s="182"/>
    </row>
    <row r="781" ht="15.75" customHeight="1">
      <c r="D781" s="182"/>
      <c r="E781" s="182"/>
    </row>
    <row r="782" ht="15.75" customHeight="1">
      <c r="D782" s="182"/>
      <c r="E782" s="182"/>
    </row>
    <row r="783" ht="15.75" customHeight="1">
      <c r="D783" s="182"/>
      <c r="E783" s="182"/>
    </row>
    <row r="784" ht="15.75" customHeight="1">
      <c r="D784" s="182"/>
      <c r="E784" s="182"/>
    </row>
    <row r="785" ht="15.75" customHeight="1">
      <c r="D785" s="182"/>
      <c r="E785" s="182"/>
    </row>
    <row r="786" ht="15.75" customHeight="1">
      <c r="D786" s="182"/>
      <c r="E786" s="182"/>
    </row>
    <row r="787" ht="15.75" customHeight="1">
      <c r="D787" s="182"/>
      <c r="E787" s="182"/>
    </row>
    <row r="788" ht="15.75" customHeight="1">
      <c r="D788" s="182"/>
      <c r="E788" s="182"/>
    </row>
    <row r="789" ht="15.75" customHeight="1">
      <c r="D789" s="182"/>
      <c r="E789" s="182"/>
    </row>
    <row r="790" ht="15.75" customHeight="1">
      <c r="D790" s="182"/>
      <c r="E790" s="182"/>
    </row>
    <row r="791" ht="15.75" customHeight="1">
      <c r="D791" s="182"/>
      <c r="E791" s="182"/>
    </row>
    <row r="792" ht="15.75" customHeight="1">
      <c r="D792" s="182"/>
      <c r="E792" s="182"/>
    </row>
    <row r="793" ht="15.75" customHeight="1">
      <c r="D793" s="182"/>
      <c r="E793" s="182"/>
    </row>
    <row r="794" ht="15.75" customHeight="1">
      <c r="D794" s="182"/>
      <c r="E794" s="182"/>
    </row>
    <row r="795" ht="15.75" customHeight="1">
      <c r="D795" s="182"/>
      <c r="E795" s="182"/>
    </row>
    <row r="796" ht="15.75" customHeight="1">
      <c r="D796" s="182"/>
      <c r="E796" s="182"/>
    </row>
    <row r="797" ht="15.75" customHeight="1">
      <c r="D797" s="182"/>
      <c r="E797" s="182"/>
    </row>
    <row r="798" ht="15.75" customHeight="1">
      <c r="D798" s="182"/>
      <c r="E798" s="182"/>
    </row>
    <row r="799" ht="15.75" customHeight="1">
      <c r="D799" s="182"/>
      <c r="E799" s="182"/>
    </row>
    <row r="800" ht="15.75" customHeight="1">
      <c r="D800" s="182"/>
      <c r="E800" s="182"/>
    </row>
    <row r="801" ht="15.75" customHeight="1">
      <c r="D801" s="182"/>
      <c r="E801" s="182"/>
    </row>
    <row r="802" ht="15.75" customHeight="1">
      <c r="D802" s="182"/>
      <c r="E802" s="182"/>
    </row>
    <row r="803" ht="15.75" customHeight="1">
      <c r="D803" s="182"/>
      <c r="E803" s="182"/>
    </row>
    <row r="804" ht="15.75" customHeight="1">
      <c r="D804" s="182"/>
      <c r="E804" s="182"/>
    </row>
    <row r="805" ht="15.75" customHeight="1">
      <c r="D805" s="182"/>
      <c r="E805" s="182"/>
    </row>
    <row r="806" ht="15.75" customHeight="1">
      <c r="D806" s="182"/>
      <c r="E806" s="182"/>
    </row>
    <row r="807" ht="15.75" customHeight="1">
      <c r="D807" s="182"/>
      <c r="E807" s="182"/>
    </row>
    <row r="808" ht="15.75" customHeight="1">
      <c r="D808" s="182"/>
      <c r="E808" s="182"/>
    </row>
    <row r="809" ht="15.75" customHeight="1">
      <c r="D809" s="182"/>
      <c r="E809" s="182"/>
    </row>
    <row r="810" ht="15.75" customHeight="1">
      <c r="D810" s="182"/>
      <c r="E810" s="182"/>
    </row>
    <row r="811" ht="15.75" customHeight="1">
      <c r="D811" s="182"/>
      <c r="E811" s="182"/>
    </row>
    <row r="812" ht="15.75" customHeight="1">
      <c r="D812" s="182"/>
      <c r="E812" s="182"/>
    </row>
    <row r="813" ht="15.75" customHeight="1">
      <c r="D813" s="182"/>
      <c r="E813" s="182"/>
    </row>
    <row r="814" ht="15.75" customHeight="1">
      <c r="D814" s="182"/>
      <c r="E814" s="182"/>
    </row>
    <row r="815" ht="15.75" customHeight="1">
      <c r="D815" s="182"/>
      <c r="E815" s="182"/>
    </row>
    <row r="816" ht="15.75" customHeight="1">
      <c r="D816" s="182"/>
      <c r="E816" s="182"/>
    </row>
    <row r="817" ht="15.75" customHeight="1">
      <c r="D817" s="182"/>
      <c r="E817" s="182"/>
    </row>
    <row r="818" ht="15.75" customHeight="1">
      <c r="D818" s="182"/>
      <c r="E818" s="182"/>
    </row>
    <row r="819" ht="15.75" customHeight="1">
      <c r="D819" s="182"/>
      <c r="E819" s="182"/>
    </row>
    <row r="820" ht="15.75" customHeight="1">
      <c r="D820" s="182"/>
      <c r="E820" s="182"/>
    </row>
    <row r="821" ht="15.75" customHeight="1">
      <c r="D821" s="182"/>
      <c r="E821" s="182"/>
    </row>
    <row r="822" ht="15.75" customHeight="1">
      <c r="D822" s="182"/>
      <c r="E822" s="182"/>
    </row>
    <row r="823" ht="15.75" customHeight="1">
      <c r="D823" s="182"/>
      <c r="E823" s="182"/>
    </row>
    <row r="824" ht="15.75" customHeight="1">
      <c r="D824" s="182"/>
      <c r="E824" s="182"/>
    </row>
    <row r="825" ht="15.75" customHeight="1">
      <c r="D825" s="182"/>
      <c r="E825" s="182"/>
    </row>
    <row r="826" ht="15.75" customHeight="1">
      <c r="D826" s="182"/>
      <c r="E826" s="182"/>
    </row>
    <row r="827" ht="15.75" customHeight="1">
      <c r="D827" s="182"/>
      <c r="E827" s="182"/>
    </row>
    <row r="828" ht="15.75" customHeight="1">
      <c r="D828" s="182"/>
      <c r="E828" s="182"/>
    </row>
    <row r="829" ht="15.75" customHeight="1">
      <c r="D829" s="182"/>
      <c r="E829" s="182"/>
    </row>
    <row r="830" ht="15.75" customHeight="1">
      <c r="D830" s="182"/>
      <c r="E830" s="182"/>
    </row>
    <row r="831" ht="15.75" customHeight="1">
      <c r="D831" s="182"/>
      <c r="E831" s="182"/>
    </row>
    <row r="832" ht="15.75" customHeight="1">
      <c r="D832" s="182"/>
      <c r="E832" s="182"/>
    </row>
    <row r="833" ht="15.75" customHeight="1">
      <c r="D833" s="182"/>
      <c r="E833" s="182"/>
    </row>
    <row r="834" ht="15.75" customHeight="1">
      <c r="D834" s="182"/>
      <c r="E834" s="182"/>
    </row>
    <row r="835" ht="15.75" customHeight="1">
      <c r="D835" s="182"/>
      <c r="E835" s="182"/>
    </row>
    <row r="836" ht="15.75" customHeight="1">
      <c r="D836" s="182"/>
      <c r="E836" s="182"/>
    </row>
    <row r="837" ht="15.75" customHeight="1">
      <c r="D837" s="182"/>
      <c r="E837" s="182"/>
    </row>
    <row r="838" ht="15.75" customHeight="1">
      <c r="D838" s="182"/>
      <c r="E838" s="182"/>
    </row>
    <row r="839" ht="15.75" customHeight="1">
      <c r="D839" s="182"/>
      <c r="E839" s="182"/>
    </row>
    <row r="840" ht="15.75" customHeight="1">
      <c r="D840" s="182"/>
      <c r="E840" s="182"/>
    </row>
    <row r="841" ht="15.75" customHeight="1">
      <c r="D841" s="182"/>
      <c r="E841" s="182"/>
    </row>
    <row r="842" ht="15.75" customHeight="1">
      <c r="D842" s="182"/>
      <c r="E842" s="182"/>
    </row>
    <row r="843" ht="15.75" customHeight="1">
      <c r="D843" s="182"/>
      <c r="E843" s="182"/>
    </row>
    <row r="844" ht="15.75" customHeight="1">
      <c r="D844" s="182"/>
      <c r="E844" s="182"/>
    </row>
    <row r="845" ht="15.75" customHeight="1">
      <c r="D845" s="182"/>
      <c r="E845" s="182"/>
    </row>
    <row r="846" ht="15.75" customHeight="1">
      <c r="D846" s="182"/>
      <c r="E846" s="182"/>
    </row>
    <row r="847" ht="15.75" customHeight="1">
      <c r="D847" s="182"/>
      <c r="E847" s="182"/>
    </row>
    <row r="848" ht="15.75" customHeight="1">
      <c r="D848" s="182"/>
      <c r="E848" s="182"/>
    </row>
    <row r="849" ht="15.75" customHeight="1">
      <c r="D849" s="182"/>
      <c r="E849" s="182"/>
    </row>
    <row r="850" ht="15.75" customHeight="1">
      <c r="D850" s="182"/>
      <c r="E850" s="182"/>
    </row>
    <row r="851" ht="15.75" customHeight="1">
      <c r="D851" s="182"/>
      <c r="E851" s="182"/>
    </row>
    <row r="852" ht="15.75" customHeight="1">
      <c r="D852" s="182"/>
      <c r="E852" s="182"/>
    </row>
    <row r="853" ht="15.75" customHeight="1">
      <c r="D853" s="182"/>
      <c r="E853" s="182"/>
    </row>
    <row r="854" ht="15.75" customHeight="1">
      <c r="D854" s="182"/>
      <c r="E854" s="182"/>
    </row>
    <row r="855" ht="15.75" customHeight="1">
      <c r="D855" s="182"/>
      <c r="E855" s="182"/>
    </row>
    <row r="856" ht="15.75" customHeight="1">
      <c r="D856" s="182"/>
      <c r="E856" s="182"/>
    </row>
    <row r="857" ht="15.75" customHeight="1">
      <c r="D857" s="182"/>
      <c r="E857" s="182"/>
    </row>
    <row r="858" ht="15.75" customHeight="1">
      <c r="D858" s="182"/>
      <c r="E858" s="182"/>
    </row>
    <row r="859" ht="15.75" customHeight="1">
      <c r="D859" s="182"/>
      <c r="E859" s="182"/>
    </row>
    <row r="860" ht="15.75" customHeight="1">
      <c r="D860" s="182"/>
      <c r="E860" s="182"/>
    </row>
    <row r="861" ht="15.75" customHeight="1">
      <c r="D861" s="182"/>
      <c r="E861" s="182"/>
    </row>
    <row r="862" ht="15.75" customHeight="1">
      <c r="D862" s="182"/>
      <c r="E862" s="182"/>
    </row>
    <row r="863" ht="15.75" customHeight="1">
      <c r="D863" s="182"/>
      <c r="E863" s="182"/>
    </row>
    <row r="864" ht="15.75" customHeight="1">
      <c r="D864" s="182"/>
      <c r="E864" s="182"/>
    </row>
    <row r="865" ht="15.75" customHeight="1">
      <c r="D865" s="182"/>
      <c r="E865" s="182"/>
    </row>
    <row r="866" ht="15.75" customHeight="1">
      <c r="D866" s="182"/>
      <c r="E866" s="182"/>
    </row>
    <row r="867" ht="15.75" customHeight="1">
      <c r="D867" s="182"/>
      <c r="E867" s="182"/>
    </row>
    <row r="868" ht="15.75" customHeight="1">
      <c r="D868" s="182"/>
      <c r="E868" s="182"/>
    </row>
    <row r="869" ht="15.75" customHeight="1">
      <c r="D869" s="182"/>
      <c r="E869" s="182"/>
    </row>
    <row r="870" ht="15.75" customHeight="1">
      <c r="D870" s="182"/>
      <c r="E870" s="182"/>
    </row>
    <row r="871" ht="15.75" customHeight="1">
      <c r="D871" s="182"/>
      <c r="E871" s="182"/>
    </row>
    <row r="872" ht="15.75" customHeight="1">
      <c r="D872" s="182"/>
      <c r="E872" s="182"/>
    </row>
    <row r="873" ht="15.75" customHeight="1">
      <c r="D873" s="182"/>
      <c r="E873" s="182"/>
    </row>
    <row r="874" ht="15.75" customHeight="1">
      <c r="D874" s="182"/>
      <c r="E874" s="182"/>
    </row>
    <row r="875" ht="15.75" customHeight="1">
      <c r="D875" s="182"/>
      <c r="E875" s="182"/>
    </row>
    <row r="876" ht="15.75" customHeight="1">
      <c r="D876" s="182"/>
      <c r="E876" s="182"/>
    </row>
    <row r="877" ht="15.75" customHeight="1">
      <c r="D877" s="182"/>
      <c r="E877" s="182"/>
    </row>
    <row r="878" ht="15.75" customHeight="1">
      <c r="D878" s="182"/>
      <c r="E878" s="182"/>
    </row>
    <row r="879" ht="15.75" customHeight="1">
      <c r="D879" s="182"/>
      <c r="E879" s="182"/>
    </row>
    <row r="880" ht="15.75" customHeight="1">
      <c r="D880" s="182"/>
      <c r="E880" s="182"/>
    </row>
    <row r="881" ht="15.75" customHeight="1">
      <c r="D881" s="182"/>
      <c r="E881" s="182"/>
    </row>
    <row r="882" ht="15.75" customHeight="1">
      <c r="D882" s="182"/>
      <c r="E882" s="182"/>
    </row>
    <row r="883" ht="15.75" customHeight="1">
      <c r="D883" s="182"/>
      <c r="E883" s="182"/>
    </row>
    <row r="884" ht="15.75" customHeight="1">
      <c r="D884" s="182"/>
      <c r="E884" s="182"/>
    </row>
    <row r="885" ht="15.75" customHeight="1">
      <c r="D885" s="182"/>
      <c r="E885" s="182"/>
    </row>
    <row r="886" ht="15.75" customHeight="1">
      <c r="D886" s="182"/>
      <c r="E886" s="182"/>
    </row>
    <row r="887" ht="15.75" customHeight="1">
      <c r="D887" s="182"/>
      <c r="E887" s="182"/>
    </row>
    <row r="888" ht="15.75" customHeight="1">
      <c r="D888" s="182"/>
      <c r="E888" s="182"/>
    </row>
    <row r="889" ht="15.75" customHeight="1">
      <c r="D889" s="182"/>
      <c r="E889" s="182"/>
    </row>
    <row r="890" ht="15.75" customHeight="1">
      <c r="D890" s="182"/>
      <c r="E890" s="182"/>
    </row>
    <row r="891" ht="15.75" customHeight="1">
      <c r="D891" s="182"/>
      <c r="E891" s="182"/>
    </row>
    <row r="892" ht="15.75" customHeight="1">
      <c r="D892" s="182"/>
      <c r="E892" s="182"/>
    </row>
    <row r="893" ht="15.75" customHeight="1">
      <c r="D893" s="182"/>
      <c r="E893" s="182"/>
    </row>
    <row r="894" ht="15.75" customHeight="1">
      <c r="D894" s="182"/>
      <c r="E894" s="182"/>
    </row>
    <row r="895" ht="15.75" customHeight="1">
      <c r="D895" s="182"/>
      <c r="E895" s="182"/>
    </row>
    <row r="896" ht="15.75" customHeight="1">
      <c r="D896" s="182"/>
      <c r="E896" s="182"/>
    </row>
    <row r="897" ht="15.75" customHeight="1">
      <c r="D897" s="182"/>
      <c r="E897" s="182"/>
    </row>
    <row r="898" ht="15.75" customHeight="1">
      <c r="D898" s="182"/>
      <c r="E898" s="182"/>
    </row>
    <row r="899" ht="15.75" customHeight="1">
      <c r="D899" s="182"/>
      <c r="E899" s="182"/>
    </row>
    <row r="900" ht="15.75" customHeight="1">
      <c r="D900" s="182"/>
      <c r="E900" s="182"/>
    </row>
    <row r="901" ht="15.75" customHeight="1">
      <c r="D901" s="182"/>
      <c r="E901" s="182"/>
    </row>
    <row r="902" ht="15.75" customHeight="1">
      <c r="D902" s="182"/>
      <c r="E902" s="182"/>
    </row>
    <row r="903" ht="15.75" customHeight="1">
      <c r="D903" s="182"/>
      <c r="E903" s="182"/>
    </row>
    <row r="904" ht="15.75" customHeight="1">
      <c r="D904" s="182"/>
      <c r="E904" s="182"/>
    </row>
    <row r="905" ht="15.75" customHeight="1">
      <c r="D905" s="182"/>
      <c r="E905" s="182"/>
    </row>
    <row r="906" ht="15.75" customHeight="1">
      <c r="D906" s="182"/>
      <c r="E906" s="182"/>
    </row>
    <row r="907" ht="15.75" customHeight="1">
      <c r="D907" s="182"/>
      <c r="E907" s="182"/>
    </row>
    <row r="908" ht="15.75" customHeight="1">
      <c r="D908" s="182"/>
      <c r="E908" s="182"/>
    </row>
    <row r="909" ht="15.75" customHeight="1">
      <c r="D909" s="182"/>
      <c r="E909" s="182"/>
    </row>
    <row r="910" ht="15.75" customHeight="1">
      <c r="D910" s="182"/>
      <c r="E910" s="182"/>
    </row>
    <row r="911" ht="15.75" customHeight="1">
      <c r="D911" s="182"/>
      <c r="E911" s="182"/>
    </row>
    <row r="912" ht="15.75" customHeight="1">
      <c r="D912" s="182"/>
      <c r="E912" s="182"/>
    </row>
    <row r="913" ht="15.75" customHeight="1">
      <c r="D913" s="182"/>
      <c r="E913" s="182"/>
    </row>
    <row r="914" ht="15.75" customHeight="1">
      <c r="D914" s="182"/>
      <c r="E914" s="182"/>
    </row>
    <row r="915" ht="15.75" customHeight="1">
      <c r="D915" s="182"/>
      <c r="E915" s="182"/>
    </row>
    <row r="916" ht="15.75" customHeight="1">
      <c r="D916" s="182"/>
      <c r="E916" s="182"/>
    </row>
    <row r="917" ht="15.75" customHeight="1">
      <c r="D917" s="182"/>
      <c r="E917" s="182"/>
    </row>
    <row r="918" ht="15.75" customHeight="1">
      <c r="D918" s="182"/>
      <c r="E918" s="182"/>
    </row>
    <row r="919" ht="15.75" customHeight="1">
      <c r="D919" s="182"/>
      <c r="E919" s="182"/>
    </row>
    <row r="920" ht="15.75" customHeight="1">
      <c r="D920" s="182"/>
      <c r="E920" s="182"/>
    </row>
    <row r="921" ht="15.75" customHeight="1">
      <c r="D921" s="182"/>
      <c r="E921" s="182"/>
    </row>
    <row r="922" ht="15.75" customHeight="1">
      <c r="D922" s="182"/>
      <c r="E922" s="182"/>
    </row>
    <row r="923" ht="15.75" customHeight="1">
      <c r="D923" s="182"/>
      <c r="E923" s="182"/>
    </row>
    <row r="924" ht="15.75" customHeight="1">
      <c r="D924" s="182"/>
      <c r="E924" s="182"/>
    </row>
    <row r="925" ht="15.75" customHeight="1">
      <c r="D925" s="182"/>
      <c r="E925" s="182"/>
    </row>
    <row r="926" ht="15.75" customHeight="1">
      <c r="D926" s="182"/>
      <c r="E926" s="182"/>
    </row>
    <row r="927" ht="15.75" customHeight="1">
      <c r="D927" s="182"/>
      <c r="E927" s="182"/>
    </row>
    <row r="928" ht="15.75" customHeight="1">
      <c r="D928" s="182"/>
      <c r="E928" s="182"/>
    </row>
    <row r="929" ht="15.75" customHeight="1">
      <c r="D929" s="182"/>
      <c r="E929" s="182"/>
    </row>
    <row r="930" ht="15.75" customHeight="1">
      <c r="D930" s="182"/>
      <c r="E930" s="182"/>
    </row>
    <row r="931" ht="15.75" customHeight="1">
      <c r="D931" s="182"/>
      <c r="E931" s="182"/>
    </row>
    <row r="932" ht="15.75" customHeight="1">
      <c r="D932" s="182"/>
      <c r="E932" s="182"/>
    </row>
    <row r="933" ht="15.75" customHeight="1">
      <c r="D933" s="182"/>
      <c r="E933" s="182"/>
    </row>
    <row r="934" ht="15.75" customHeight="1">
      <c r="D934" s="182"/>
      <c r="E934" s="182"/>
    </row>
    <row r="935" ht="15.75" customHeight="1">
      <c r="D935" s="182"/>
      <c r="E935" s="182"/>
    </row>
    <row r="936" ht="15.75" customHeight="1">
      <c r="D936" s="182"/>
      <c r="E936" s="182"/>
    </row>
    <row r="937" ht="15.75" customHeight="1">
      <c r="D937" s="182"/>
      <c r="E937" s="182"/>
    </row>
    <row r="938" ht="15.75" customHeight="1">
      <c r="D938" s="182"/>
      <c r="E938" s="182"/>
    </row>
    <row r="939" ht="15.75" customHeight="1">
      <c r="D939" s="182"/>
      <c r="E939" s="182"/>
    </row>
    <row r="940" ht="15.75" customHeight="1">
      <c r="D940" s="182"/>
      <c r="E940" s="182"/>
    </row>
    <row r="941" ht="15.75" customHeight="1">
      <c r="D941" s="182"/>
      <c r="E941" s="182"/>
    </row>
    <row r="942" ht="15.75" customHeight="1">
      <c r="D942" s="182"/>
      <c r="E942" s="182"/>
    </row>
    <row r="943" ht="15.75" customHeight="1">
      <c r="D943" s="182"/>
      <c r="E943" s="182"/>
    </row>
    <row r="944" ht="15.75" customHeight="1">
      <c r="D944" s="182"/>
      <c r="E944" s="182"/>
    </row>
    <row r="945" ht="15.75" customHeight="1">
      <c r="D945" s="182"/>
      <c r="E945" s="182"/>
    </row>
    <row r="946" ht="15.75" customHeight="1">
      <c r="D946" s="182"/>
      <c r="E946" s="182"/>
    </row>
    <row r="947" ht="15.75" customHeight="1">
      <c r="D947" s="182"/>
      <c r="E947" s="182"/>
    </row>
    <row r="948" ht="15.75" customHeight="1">
      <c r="D948" s="182"/>
      <c r="E948" s="182"/>
    </row>
    <row r="949" ht="15.75" customHeight="1">
      <c r="D949" s="182"/>
      <c r="E949" s="182"/>
    </row>
    <row r="950" ht="15.75" customHeight="1">
      <c r="D950" s="182"/>
      <c r="E950" s="182"/>
    </row>
    <row r="951" ht="15.75" customHeight="1">
      <c r="D951" s="182"/>
      <c r="E951" s="182"/>
    </row>
    <row r="952" ht="15.75" customHeight="1">
      <c r="D952" s="182"/>
      <c r="E952" s="182"/>
    </row>
    <row r="953" ht="15.75" customHeight="1">
      <c r="D953" s="182"/>
      <c r="E953" s="182"/>
    </row>
    <row r="954" ht="15.75" customHeight="1">
      <c r="D954" s="182"/>
      <c r="E954" s="182"/>
    </row>
    <row r="955" ht="15.75" customHeight="1">
      <c r="D955" s="182"/>
      <c r="E955" s="182"/>
    </row>
    <row r="956" ht="15.75" customHeight="1">
      <c r="D956" s="182"/>
      <c r="E956" s="182"/>
    </row>
    <row r="957" ht="15.75" customHeight="1">
      <c r="D957" s="182"/>
      <c r="E957" s="182"/>
    </row>
    <row r="958" ht="15.75" customHeight="1">
      <c r="D958" s="182"/>
      <c r="E958" s="182"/>
    </row>
    <row r="959" ht="15.75" customHeight="1">
      <c r="D959" s="182"/>
      <c r="E959" s="182"/>
    </row>
    <row r="960" ht="15.75" customHeight="1">
      <c r="D960" s="182"/>
      <c r="E960" s="182"/>
    </row>
    <row r="961" ht="15.75" customHeight="1">
      <c r="D961" s="182"/>
      <c r="E961" s="182"/>
    </row>
    <row r="962" ht="15.75" customHeight="1">
      <c r="D962" s="182"/>
      <c r="E962" s="182"/>
    </row>
    <row r="963" ht="15.75" customHeight="1">
      <c r="D963" s="182"/>
      <c r="E963" s="182"/>
    </row>
    <row r="964" ht="15.75" customHeight="1">
      <c r="D964" s="182"/>
      <c r="E964" s="182"/>
    </row>
    <row r="965" ht="15.75" customHeight="1">
      <c r="D965" s="182"/>
      <c r="E965" s="182"/>
    </row>
    <row r="966" ht="15.75" customHeight="1">
      <c r="D966" s="182"/>
      <c r="E966" s="182"/>
    </row>
    <row r="967" ht="15.75" customHeight="1">
      <c r="D967" s="182"/>
      <c r="E967" s="182"/>
    </row>
    <row r="968" ht="15.75" customHeight="1">
      <c r="D968" s="182"/>
      <c r="E968" s="182"/>
    </row>
    <row r="969" ht="15.75" customHeight="1">
      <c r="D969" s="182"/>
      <c r="E969" s="182"/>
    </row>
    <row r="970" ht="15.75" customHeight="1">
      <c r="D970" s="182"/>
      <c r="E970" s="182"/>
    </row>
    <row r="971" ht="15.75" customHeight="1">
      <c r="D971" s="182"/>
      <c r="E971" s="182"/>
    </row>
  </sheetData>
  <autoFilter ref="$A$2:$Z$57">
    <filterColumn colId="18">
      <filters blank="1"/>
    </filterColumn>
    <sortState ref="A2:Z57">
      <sortCondition ref="D2:D57"/>
    </sortState>
  </autoFilter>
  <customSheetViews>
    <customSheetView guid="{7980442E-1377-4278-9173-05DC45F71867}" filter="1" showAutoFilter="1">
      <autoFilter ref="$A$2:$S$57">
        <filterColumn colId="14">
          <filters>
            <filter val="Campaigns"/>
            <filter val="Remkting"/>
            <filter val="G Ads"/>
          </filters>
        </filterColumn>
      </autoFilter>
    </customSheetView>
    <customSheetView guid="{C1874CF6-02F4-43E6-A928-067EC5E4A08C}" filter="1" showAutoFilter="1">
      <autoFilter ref="$I$2:$I$40"/>
    </customSheetView>
  </customSheetView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2"/>
  <cols>
    <col customWidth="1" min="1" max="1" width="5.71"/>
    <col customWidth="1" min="2" max="3" width="14.43"/>
    <col customWidth="1" min="4" max="4" width="33.29"/>
    <col customWidth="1" min="5" max="5" width="36.71"/>
    <col customWidth="1" min="6" max="6" width="14.29"/>
    <col customWidth="1" min="7" max="7" width="13.57"/>
    <col customWidth="1" min="8" max="8" width="6.0"/>
    <col customWidth="1" min="9" max="9" width="8.43"/>
    <col customWidth="1" min="10" max="10" width="6.86"/>
    <col customWidth="1" min="11" max="11" width="6.43"/>
    <col customWidth="1" min="12" max="12" width="6.57"/>
    <col customWidth="1" min="13" max="13" width="8.29"/>
    <col customWidth="1" min="14" max="14" width="9.57"/>
    <col min="15" max="19" width="14.43" outlineLevel="1"/>
  </cols>
  <sheetData>
    <row r="1" ht="15.75" customHeight="1">
      <c r="A1" s="121"/>
      <c r="C1" s="112"/>
      <c r="D1" s="112"/>
      <c r="E1" s="112"/>
      <c r="F1" s="112"/>
      <c r="G1" s="112"/>
      <c r="H1" s="112"/>
      <c r="I1" s="112"/>
      <c r="J1" s="114"/>
      <c r="K1" s="115"/>
      <c r="L1" s="115"/>
      <c r="M1" s="95"/>
      <c r="N1" s="95"/>
      <c r="O1" s="21"/>
      <c r="P1" s="21"/>
      <c r="Q1" s="21"/>
      <c r="R1" s="21"/>
      <c r="S1" s="21"/>
      <c r="T1" s="95"/>
    </row>
    <row r="2" ht="15.75" customHeight="1">
      <c r="A2" s="126" t="s">
        <v>1032</v>
      </c>
      <c r="B2" s="116" t="s">
        <v>1015</v>
      </c>
      <c r="C2" s="117" t="s">
        <v>1017</v>
      </c>
      <c r="D2" s="117" t="s">
        <v>2</v>
      </c>
      <c r="E2" s="117" t="s">
        <v>1020</v>
      </c>
      <c r="F2" s="117" t="s">
        <v>1021</v>
      </c>
      <c r="G2" s="128" t="s">
        <v>1</v>
      </c>
      <c r="H2" s="128" t="s">
        <v>1037</v>
      </c>
      <c r="I2" s="129" t="s">
        <v>21</v>
      </c>
      <c r="J2" s="126" t="s">
        <v>1039</v>
      </c>
      <c r="K2" s="126" t="s">
        <v>1040</v>
      </c>
      <c r="L2" s="126" t="s">
        <v>1042</v>
      </c>
      <c r="M2" s="126" t="s">
        <v>1044</v>
      </c>
      <c r="N2" s="126" t="s">
        <v>1045</v>
      </c>
      <c r="O2" s="183" t="s">
        <v>8</v>
      </c>
      <c r="P2" s="183" t="s">
        <v>1022</v>
      </c>
      <c r="Q2" s="183" t="s">
        <v>1023</v>
      </c>
      <c r="R2" s="183" t="s">
        <v>1025</v>
      </c>
      <c r="S2" s="183" t="s">
        <v>6</v>
      </c>
      <c r="T2" s="116"/>
    </row>
    <row r="3" ht="15.75" hidden="1" customHeight="1">
      <c r="A3" s="123">
        <v>14.0</v>
      </c>
      <c r="B3" s="130" t="s">
        <v>1172</v>
      </c>
      <c r="C3" s="130" t="s">
        <v>1173</v>
      </c>
      <c r="D3" s="132" t="s">
        <v>1174</v>
      </c>
      <c r="E3" s="132" t="s">
        <v>1175</v>
      </c>
      <c r="F3" s="125"/>
      <c r="G3" s="132" t="s">
        <v>1044</v>
      </c>
      <c r="H3" s="132"/>
      <c r="I3" s="132"/>
      <c r="J3" s="140"/>
      <c r="K3" s="125"/>
      <c r="L3" s="132"/>
      <c r="M3" s="125" t="s">
        <v>1056</v>
      </c>
      <c r="N3" s="132" t="s">
        <v>738</v>
      </c>
      <c r="O3" s="184">
        <f t="shared" ref="O3:O15" si="1">P3+S3</f>
        <v>30</v>
      </c>
      <c r="P3" s="185">
        <v>20.0</v>
      </c>
      <c r="Q3" s="185">
        <v>1.0</v>
      </c>
      <c r="R3" s="185">
        <v>1.0</v>
      </c>
      <c r="S3" s="184">
        <f t="shared" ref="S3:S15" si="2">(6-Q3)+(6-R3)</f>
        <v>10</v>
      </c>
      <c r="T3" s="125"/>
    </row>
    <row r="4" ht="15.75" customHeight="1">
      <c r="A4" s="123">
        <v>7.0</v>
      </c>
      <c r="B4" s="130" t="s">
        <v>1126</v>
      </c>
      <c r="C4" s="130" t="s">
        <v>1395</v>
      </c>
      <c r="D4" s="132" t="s">
        <v>1396</v>
      </c>
      <c r="E4" s="132"/>
      <c r="F4" s="125"/>
      <c r="G4" s="132" t="s">
        <v>1044</v>
      </c>
      <c r="H4" s="125"/>
      <c r="I4" s="132"/>
      <c r="J4" s="133"/>
      <c r="K4" s="132"/>
      <c r="L4" s="125"/>
      <c r="M4" s="132" t="s">
        <v>1126</v>
      </c>
      <c r="N4" s="125"/>
      <c r="O4" s="184">
        <f t="shared" si="1"/>
        <v>27</v>
      </c>
      <c r="P4" s="185">
        <v>18.0</v>
      </c>
      <c r="Q4" s="185">
        <v>1.0</v>
      </c>
      <c r="R4" s="185">
        <v>2.0</v>
      </c>
      <c r="S4" s="184">
        <f t="shared" si="2"/>
        <v>9</v>
      </c>
      <c r="T4" s="125"/>
    </row>
    <row r="5" ht="15.75" hidden="1" customHeight="1">
      <c r="A5" s="123">
        <v>15.0</v>
      </c>
      <c r="B5" s="130" t="s">
        <v>1172</v>
      </c>
      <c r="C5" s="130" t="s">
        <v>1176</v>
      </c>
      <c r="D5" s="132" t="s">
        <v>1177</v>
      </c>
      <c r="E5" s="125" t="s">
        <v>1178</v>
      </c>
      <c r="F5" s="125"/>
      <c r="G5" s="132" t="s">
        <v>1042</v>
      </c>
      <c r="H5" s="125"/>
      <c r="I5" s="132" t="s">
        <v>1397</v>
      </c>
      <c r="J5" s="133" t="s">
        <v>1150</v>
      </c>
      <c r="K5" s="125"/>
      <c r="L5" s="125" t="s">
        <v>596</v>
      </c>
      <c r="M5" s="132" t="s">
        <v>1056</v>
      </c>
      <c r="N5" s="132" t="s">
        <v>738</v>
      </c>
      <c r="O5" s="184">
        <f t="shared" si="1"/>
        <v>27</v>
      </c>
      <c r="P5" s="185">
        <v>18.0</v>
      </c>
      <c r="Q5" s="185">
        <v>2.0</v>
      </c>
      <c r="R5" s="185">
        <v>1.0</v>
      </c>
      <c r="S5" s="184">
        <f t="shared" si="2"/>
        <v>9</v>
      </c>
      <c r="T5" s="125"/>
    </row>
    <row r="6" ht="15.75" hidden="1" customHeight="1">
      <c r="A6" s="123">
        <v>10.0</v>
      </c>
      <c r="B6" s="130" t="s">
        <v>596</v>
      </c>
      <c r="C6" s="130" t="s">
        <v>1148</v>
      </c>
      <c r="D6" s="132" t="s">
        <v>1149</v>
      </c>
      <c r="E6" s="125" t="s">
        <v>1143</v>
      </c>
      <c r="F6" s="125"/>
      <c r="G6" s="132" t="s">
        <v>1042</v>
      </c>
      <c r="H6" s="125" t="s">
        <v>830</v>
      </c>
      <c r="I6" s="132"/>
      <c r="J6" s="133" t="s">
        <v>1150</v>
      </c>
      <c r="K6" s="125"/>
      <c r="L6" s="125" t="s">
        <v>596</v>
      </c>
      <c r="M6" s="132"/>
      <c r="N6" s="132" t="s">
        <v>738</v>
      </c>
      <c r="O6" s="184">
        <f t="shared" si="1"/>
        <v>26</v>
      </c>
      <c r="P6" s="185">
        <v>18.0</v>
      </c>
      <c r="Q6" s="185">
        <v>2.0</v>
      </c>
      <c r="R6" s="185">
        <v>2.0</v>
      </c>
      <c r="S6" s="184">
        <f t="shared" si="2"/>
        <v>8</v>
      </c>
      <c r="T6" s="125"/>
    </row>
    <row r="7" ht="15.75" hidden="1" customHeight="1">
      <c r="A7" s="123">
        <v>18.0</v>
      </c>
      <c r="B7" s="130" t="s">
        <v>596</v>
      </c>
      <c r="C7" s="130" t="s">
        <v>1200</v>
      </c>
      <c r="D7" s="132" t="s">
        <v>1201</v>
      </c>
      <c r="E7" s="132" t="s">
        <v>1202</v>
      </c>
      <c r="F7" s="125"/>
      <c r="G7" s="132" t="s">
        <v>1042</v>
      </c>
      <c r="H7" s="132" t="s">
        <v>830</v>
      </c>
      <c r="I7" s="132"/>
      <c r="J7" s="140" t="s">
        <v>1150</v>
      </c>
      <c r="K7" s="125"/>
      <c r="L7" s="132" t="s">
        <v>596</v>
      </c>
      <c r="M7" s="132" t="s">
        <v>1398</v>
      </c>
      <c r="N7" s="132" t="s">
        <v>738</v>
      </c>
      <c r="O7" s="184">
        <f t="shared" si="1"/>
        <v>26</v>
      </c>
      <c r="P7" s="185">
        <v>18.0</v>
      </c>
      <c r="Q7" s="185">
        <v>3.0</v>
      </c>
      <c r="R7" s="185">
        <v>1.0</v>
      </c>
      <c r="S7" s="184">
        <f t="shared" si="2"/>
        <v>8</v>
      </c>
      <c r="T7" s="125"/>
    </row>
    <row r="8" ht="15.75" customHeight="1">
      <c r="A8" s="123">
        <v>2.0</v>
      </c>
      <c r="B8" s="130" t="s">
        <v>1172</v>
      </c>
      <c r="C8" s="130" t="s">
        <v>1296</v>
      </c>
      <c r="D8" s="132" t="s">
        <v>1399</v>
      </c>
      <c r="E8" s="132" t="s">
        <v>1400</v>
      </c>
      <c r="F8" s="125"/>
      <c r="G8" s="132" t="s">
        <v>1044</v>
      </c>
      <c r="H8" s="132" t="s">
        <v>830</v>
      </c>
      <c r="I8" s="132"/>
      <c r="J8" s="140"/>
      <c r="K8" s="125"/>
      <c r="L8" s="132"/>
      <c r="M8" s="132" t="s">
        <v>1063</v>
      </c>
      <c r="N8" s="95"/>
      <c r="O8" s="184">
        <f t="shared" si="1"/>
        <v>25</v>
      </c>
      <c r="P8" s="186">
        <v>20.0</v>
      </c>
      <c r="Q8" s="186">
        <v>5.0</v>
      </c>
      <c r="R8" s="186">
        <v>2.0</v>
      </c>
      <c r="S8" s="184">
        <f t="shared" si="2"/>
        <v>5</v>
      </c>
      <c r="T8" s="95"/>
    </row>
    <row r="9" ht="15.75" hidden="1" customHeight="1">
      <c r="A9" s="123">
        <v>11.0</v>
      </c>
      <c r="B9" s="130" t="s">
        <v>27</v>
      </c>
      <c r="C9" s="130" t="s">
        <v>1151</v>
      </c>
      <c r="D9" s="132" t="s">
        <v>1153</v>
      </c>
      <c r="E9" s="132" t="s">
        <v>1154</v>
      </c>
      <c r="F9" s="132"/>
      <c r="G9" s="132" t="s">
        <v>1040</v>
      </c>
      <c r="H9" s="132" t="s">
        <v>830</v>
      </c>
      <c r="I9" s="132" t="s">
        <v>1397</v>
      </c>
      <c r="J9" s="133"/>
      <c r="K9" s="132" t="s">
        <v>1135</v>
      </c>
      <c r="L9" s="125" t="s">
        <v>596</v>
      </c>
      <c r="M9" s="132" t="s">
        <v>1157</v>
      </c>
      <c r="N9" s="132" t="s">
        <v>738</v>
      </c>
      <c r="O9" s="184">
        <f t="shared" si="1"/>
        <v>25</v>
      </c>
      <c r="P9" s="185">
        <v>20.0</v>
      </c>
      <c r="Q9" s="185">
        <v>4.0</v>
      </c>
      <c r="R9" s="185">
        <v>3.0</v>
      </c>
      <c r="S9" s="184">
        <f t="shared" si="2"/>
        <v>5</v>
      </c>
      <c r="T9" s="125"/>
    </row>
    <row r="10" ht="15.75" hidden="1" customHeight="1">
      <c r="A10" s="123">
        <v>13.0</v>
      </c>
      <c r="B10" s="130" t="s">
        <v>596</v>
      </c>
      <c r="C10" s="130" t="s">
        <v>1164</v>
      </c>
      <c r="D10" s="132" t="s">
        <v>1166</v>
      </c>
      <c r="E10" s="132" t="s">
        <v>1167</v>
      </c>
      <c r="F10" s="125"/>
      <c r="G10" s="132" t="s">
        <v>1042</v>
      </c>
      <c r="H10" s="132" t="s">
        <v>830</v>
      </c>
      <c r="I10" s="132"/>
      <c r="J10" s="140" t="s">
        <v>1150</v>
      </c>
      <c r="K10" s="125"/>
      <c r="L10" s="132" t="s">
        <v>596</v>
      </c>
      <c r="M10" s="125"/>
      <c r="N10" s="132" t="s">
        <v>738</v>
      </c>
      <c r="O10" s="184">
        <f t="shared" si="1"/>
        <v>25</v>
      </c>
      <c r="P10" s="185">
        <v>16.0</v>
      </c>
      <c r="Q10" s="185">
        <v>2.0</v>
      </c>
      <c r="R10" s="185">
        <v>1.0</v>
      </c>
      <c r="S10" s="184">
        <f t="shared" si="2"/>
        <v>9</v>
      </c>
      <c r="T10" s="125"/>
    </row>
    <row r="11" ht="15.75" customHeight="1">
      <c r="A11" s="130">
        <v>1.0</v>
      </c>
      <c r="B11" s="130" t="s">
        <v>596</v>
      </c>
      <c r="C11" s="130" t="s">
        <v>1057</v>
      </c>
      <c r="D11" s="132" t="s">
        <v>1058</v>
      </c>
      <c r="E11" s="132" t="s">
        <v>1059</v>
      </c>
      <c r="F11" s="125"/>
      <c r="G11" s="132" t="s">
        <v>1042</v>
      </c>
      <c r="H11" s="132" t="s">
        <v>830</v>
      </c>
      <c r="I11" s="125"/>
      <c r="J11" s="140" t="s">
        <v>1150</v>
      </c>
      <c r="K11" s="125"/>
      <c r="L11" s="132" t="s">
        <v>1062</v>
      </c>
      <c r="M11" s="132" t="s">
        <v>1063</v>
      </c>
      <c r="N11" s="125"/>
      <c r="O11" s="184">
        <f t="shared" si="1"/>
        <v>24</v>
      </c>
      <c r="P11" s="185">
        <v>15.0</v>
      </c>
      <c r="Q11" s="185">
        <v>2.0</v>
      </c>
      <c r="R11" s="185">
        <v>1.0</v>
      </c>
      <c r="S11" s="184">
        <f t="shared" si="2"/>
        <v>9</v>
      </c>
      <c r="T11" s="125"/>
    </row>
    <row r="12" ht="15.75" customHeight="1">
      <c r="A12" s="123">
        <v>8.0</v>
      </c>
      <c r="B12" s="130" t="s">
        <v>27</v>
      </c>
      <c r="C12" s="130" t="s">
        <v>1133</v>
      </c>
      <c r="D12" s="132" t="s">
        <v>1134</v>
      </c>
      <c r="E12" s="132" t="s">
        <v>1401</v>
      </c>
      <c r="F12" s="132"/>
      <c r="G12" s="132" t="s">
        <v>1040</v>
      </c>
      <c r="H12" s="132"/>
      <c r="I12" s="125"/>
      <c r="J12" s="133"/>
      <c r="K12" s="132" t="s">
        <v>1135</v>
      </c>
      <c r="L12" s="125"/>
      <c r="M12" s="132" t="s">
        <v>1088</v>
      </c>
      <c r="N12" s="125"/>
      <c r="O12" s="184">
        <f t="shared" si="1"/>
        <v>24</v>
      </c>
      <c r="P12" s="185">
        <v>15.0</v>
      </c>
      <c r="Q12" s="185">
        <v>1.0</v>
      </c>
      <c r="R12" s="185">
        <v>2.0</v>
      </c>
      <c r="S12" s="184">
        <f t="shared" si="2"/>
        <v>9</v>
      </c>
      <c r="T12" s="125"/>
    </row>
    <row r="13" ht="15.75" customHeight="1">
      <c r="A13" s="123">
        <v>37.0</v>
      </c>
      <c r="B13" s="130" t="s">
        <v>473</v>
      </c>
      <c r="C13" s="130" t="s">
        <v>1285</v>
      </c>
      <c r="D13" s="132" t="s">
        <v>1286</v>
      </c>
      <c r="E13" s="132" t="s">
        <v>1287</v>
      </c>
      <c r="F13" s="125"/>
      <c r="G13" s="132" t="s">
        <v>1044</v>
      </c>
      <c r="H13" s="132" t="s">
        <v>1402</v>
      </c>
      <c r="I13" s="132"/>
      <c r="J13" s="133"/>
      <c r="K13" s="125"/>
      <c r="L13" s="125"/>
      <c r="M13" s="132"/>
      <c r="N13" s="95"/>
      <c r="O13" s="184">
        <f t="shared" si="1"/>
        <v>24</v>
      </c>
      <c r="P13" s="186">
        <v>16.0</v>
      </c>
      <c r="Q13" s="186">
        <v>2.0</v>
      </c>
      <c r="R13" s="186">
        <v>2.0</v>
      </c>
      <c r="S13" s="184">
        <f t="shared" si="2"/>
        <v>8</v>
      </c>
      <c r="T13" s="95"/>
    </row>
    <row r="14" ht="15.75" customHeight="1">
      <c r="A14" s="123">
        <v>6.0</v>
      </c>
      <c r="B14" s="130" t="s">
        <v>27</v>
      </c>
      <c r="C14" s="130" t="s">
        <v>1123</v>
      </c>
      <c r="D14" s="132" t="s">
        <v>1124</v>
      </c>
      <c r="E14" s="132" t="s">
        <v>1178</v>
      </c>
      <c r="F14" s="125"/>
      <c r="G14" s="132" t="s">
        <v>1040</v>
      </c>
      <c r="H14" s="132" t="s">
        <v>830</v>
      </c>
      <c r="I14" s="125"/>
      <c r="J14" s="133"/>
      <c r="K14" s="132" t="s">
        <v>1100</v>
      </c>
      <c r="L14" s="132" t="s">
        <v>596</v>
      </c>
      <c r="M14" s="132"/>
      <c r="N14" s="125"/>
      <c r="O14" s="184">
        <f t="shared" si="1"/>
        <v>23</v>
      </c>
      <c r="P14" s="185">
        <v>16.0</v>
      </c>
      <c r="Q14" s="185">
        <v>2.0</v>
      </c>
      <c r="R14" s="185">
        <v>3.0</v>
      </c>
      <c r="S14" s="184">
        <f t="shared" si="2"/>
        <v>7</v>
      </c>
      <c r="T14" s="125"/>
    </row>
    <row r="15" ht="15.75" hidden="1" customHeight="1">
      <c r="A15" s="123">
        <v>23.0</v>
      </c>
      <c r="B15" s="130" t="s">
        <v>1088</v>
      </c>
      <c r="C15" s="130" t="s">
        <v>1236</v>
      </c>
      <c r="D15" s="132" t="s">
        <v>1403</v>
      </c>
      <c r="E15" s="132" t="s">
        <v>1404</v>
      </c>
      <c r="F15" s="125"/>
      <c r="G15" s="132" t="s">
        <v>1044</v>
      </c>
      <c r="H15" s="125" t="s">
        <v>830</v>
      </c>
      <c r="I15" s="132" t="s">
        <v>596</v>
      </c>
      <c r="J15" s="133" t="s">
        <v>1150</v>
      </c>
      <c r="K15" s="125"/>
      <c r="L15" s="125"/>
      <c r="M15" s="132" t="s">
        <v>1063</v>
      </c>
      <c r="N15" s="154" t="s">
        <v>738</v>
      </c>
      <c r="O15" s="184">
        <f t="shared" si="1"/>
        <v>23</v>
      </c>
      <c r="P15" s="186">
        <v>15.0</v>
      </c>
      <c r="Q15" s="186">
        <v>3.0</v>
      </c>
      <c r="R15" s="186">
        <v>1.0</v>
      </c>
      <c r="S15" s="184">
        <f t="shared" si="2"/>
        <v>8</v>
      </c>
      <c r="T15" s="95"/>
    </row>
    <row r="16" ht="15.75" customHeight="1">
      <c r="A16" s="130">
        <v>43.0</v>
      </c>
      <c r="B16" s="130" t="s">
        <v>1088</v>
      </c>
      <c r="C16" s="130" t="s">
        <v>1405</v>
      </c>
      <c r="D16" s="132" t="s">
        <v>1405</v>
      </c>
      <c r="E16" s="132" t="s">
        <v>1404</v>
      </c>
      <c r="F16" s="125"/>
      <c r="G16" s="132" t="s">
        <v>21</v>
      </c>
      <c r="H16" s="125" t="s">
        <v>830</v>
      </c>
      <c r="I16" s="132" t="s">
        <v>596</v>
      </c>
      <c r="J16" s="133"/>
      <c r="K16" s="125"/>
      <c r="L16" s="125"/>
      <c r="M16" s="125"/>
      <c r="N16" s="95"/>
      <c r="O16" s="184"/>
      <c r="P16" s="186"/>
      <c r="Q16" s="186"/>
      <c r="R16" s="186"/>
      <c r="S16" s="184"/>
      <c r="T16" s="95"/>
    </row>
    <row r="17" ht="15.75" customHeight="1">
      <c r="A17" s="123">
        <v>28.0</v>
      </c>
      <c r="B17" s="130" t="s">
        <v>1385</v>
      </c>
      <c r="C17" s="130" t="s">
        <v>1406</v>
      </c>
      <c r="D17" s="132" t="s">
        <v>1407</v>
      </c>
      <c r="E17" s="132" t="s">
        <v>1408</v>
      </c>
      <c r="F17" s="125"/>
      <c r="G17" s="132" t="s">
        <v>1042</v>
      </c>
      <c r="H17" s="125" t="s">
        <v>830</v>
      </c>
      <c r="I17" s="132"/>
      <c r="J17" s="133" t="s">
        <v>1150</v>
      </c>
      <c r="K17" s="125"/>
      <c r="L17" s="125" t="s">
        <v>596</v>
      </c>
      <c r="M17" s="125"/>
      <c r="N17" s="95"/>
      <c r="O17" s="184">
        <f t="shared" ref="O17:O28" si="3">P17+S17</f>
        <v>23</v>
      </c>
      <c r="P17" s="186">
        <v>16.0</v>
      </c>
      <c r="Q17" s="186">
        <v>2.0</v>
      </c>
      <c r="R17" s="186">
        <v>3.0</v>
      </c>
      <c r="S17" s="184">
        <f t="shared" ref="S17:S28" si="4">(6-Q17)+(6-R17)</f>
        <v>7</v>
      </c>
      <c r="T17" s="95"/>
    </row>
    <row r="18" ht="15.75" customHeight="1">
      <c r="A18" s="123">
        <v>29.0</v>
      </c>
      <c r="B18" s="130" t="s">
        <v>1385</v>
      </c>
      <c r="C18" s="130" t="s">
        <v>1409</v>
      </c>
      <c r="D18" s="132" t="s">
        <v>1410</v>
      </c>
      <c r="E18" s="125"/>
      <c r="F18" s="132" t="s">
        <v>1411</v>
      </c>
      <c r="G18" s="132" t="s">
        <v>1042</v>
      </c>
      <c r="H18" s="125" t="s">
        <v>830</v>
      </c>
      <c r="I18" s="132"/>
      <c r="J18" s="133" t="s">
        <v>1150</v>
      </c>
      <c r="K18" s="125"/>
      <c r="L18" s="125" t="s">
        <v>596</v>
      </c>
      <c r="M18" s="132"/>
      <c r="N18" s="95"/>
      <c r="O18" s="184">
        <f t="shared" si="3"/>
        <v>23</v>
      </c>
      <c r="P18" s="186">
        <v>16.0</v>
      </c>
      <c r="Q18" s="186">
        <v>2.0</v>
      </c>
      <c r="R18" s="186">
        <v>3.0</v>
      </c>
      <c r="S18" s="184">
        <f t="shared" si="4"/>
        <v>7</v>
      </c>
      <c r="T18" s="95"/>
    </row>
    <row r="19" ht="15.75" customHeight="1">
      <c r="A19" s="123">
        <v>30.0</v>
      </c>
      <c r="B19" s="130" t="s">
        <v>1385</v>
      </c>
      <c r="C19" s="130" t="s">
        <v>1412</v>
      </c>
      <c r="D19" s="132" t="s">
        <v>1413</v>
      </c>
      <c r="E19" s="132" t="s">
        <v>1408</v>
      </c>
      <c r="F19" s="132" t="s">
        <v>1409</v>
      </c>
      <c r="G19" s="132" t="s">
        <v>1042</v>
      </c>
      <c r="H19" s="125" t="s">
        <v>830</v>
      </c>
      <c r="I19" s="132"/>
      <c r="J19" s="140"/>
      <c r="K19" s="125"/>
      <c r="L19" s="132" t="s">
        <v>596</v>
      </c>
      <c r="M19" s="125"/>
      <c r="N19" s="95"/>
      <c r="O19" s="184">
        <f t="shared" si="3"/>
        <v>23</v>
      </c>
      <c r="P19" s="186">
        <v>14.0</v>
      </c>
      <c r="Q19" s="186">
        <v>2.0</v>
      </c>
      <c r="R19" s="186">
        <v>1.0</v>
      </c>
      <c r="S19" s="184">
        <f t="shared" si="4"/>
        <v>9</v>
      </c>
      <c r="T19" s="95"/>
    </row>
    <row r="20" ht="15.75" customHeight="1">
      <c r="A20" s="123">
        <v>43.0</v>
      </c>
      <c r="B20" s="130" t="s">
        <v>1088</v>
      </c>
      <c r="C20" s="130" t="s">
        <v>1414</v>
      </c>
      <c r="D20" s="132" t="s">
        <v>1415</v>
      </c>
      <c r="E20" s="125"/>
      <c r="F20" s="132" t="s">
        <v>1236</v>
      </c>
      <c r="G20" s="132" t="s">
        <v>21</v>
      </c>
      <c r="H20" s="132" t="s">
        <v>830</v>
      </c>
      <c r="I20" s="132" t="s">
        <v>596</v>
      </c>
      <c r="J20" s="140" t="s">
        <v>1150</v>
      </c>
      <c r="K20" s="125"/>
      <c r="L20" s="125"/>
      <c r="M20" s="132"/>
      <c r="N20" s="95"/>
      <c r="O20" s="184">
        <f t="shared" si="3"/>
        <v>23</v>
      </c>
      <c r="P20" s="186">
        <v>14.0</v>
      </c>
      <c r="Q20" s="186">
        <v>2.0</v>
      </c>
      <c r="R20" s="186">
        <v>1.0</v>
      </c>
      <c r="S20" s="184">
        <f t="shared" si="4"/>
        <v>9</v>
      </c>
      <c r="T20" s="95"/>
    </row>
    <row r="21" ht="15.75" customHeight="1">
      <c r="A21" s="123">
        <v>41.0</v>
      </c>
      <c r="B21" s="130" t="s">
        <v>1416</v>
      </c>
      <c r="C21" s="130" t="s">
        <v>408</v>
      </c>
      <c r="D21" s="132" t="s">
        <v>1417</v>
      </c>
      <c r="E21" s="132" t="s">
        <v>1178</v>
      </c>
      <c r="F21" s="125"/>
      <c r="G21" s="132" t="s">
        <v>1042</v>
      </c>
      <c r="H21" s="132" t="s">
        <v>830</v>
      </c>
      <c r="I21" s="132"/>
      <c r="J21" s="133"/>
      <c r="K21" s="125"/>
      <c r="L21" s="132" t="s">
        <v>596</v>
      </c>
      <c r="M21" s="132"/>
      <c r="N21" s="95"/>
      <c r="O21" s="184">
        <f t="shared" si="3"/>
        <v>23</v>
      </c>
      <c r="P21" s="186">
        <v>15.0</v>
      </c>
      <c r="Q21" s="186">
        <v>3.0</v>
      </c>
      <c r="R21" s="186">
        <v>1.0</v>
      </c>
      <c r="S21" s="184">
        <f t="shared" si="4"/>
        <v>8</v>
      </c>
      <c r="T21" s="95"/>
    </row>
    <row r="22" ht="15.75" customHeight="1">
      <c r="A22" s="123">
        <v>9.0</v>
      </c>
      <c r="B22" s="130" t="s">
        <v>27</v>
      </c>
      <c r="C22" s="130" t="s">
        <v>1137</v>
      </c>
      <c r="D22" s="132" t="s">
        <v>1138</v>
      </c>
      <c r="E22" s="132" t="s">
        <v>1418</v>
      </c>
      <c r="F22" s="132"/>
      <c r="G22" s="132" t="s">
        <v>1040</v>
      </c>
      <c r="H22" s="132"/>
      <c r="I22" s="125"/>
      <c r="J22" s="140" t="s">
        <v>1145</v>
      </c>
      <c r="K22" s="132" t="s">
        <v>1135</v>
      </c>
      <c r="L22" s="125"/>
      <c r="M22" s="132"/>
      <c r="N22" s="125"/>
      <c r="O22" s="184">
        <f t="shared" si="3"/>
        <v>22</v>
      </c>
      <c r="P22" s="185">
        <v>13.0</v>
      </c>
      <c r="Q22" s="185">
        <v>1.0</v>
      </c>
      <c r="R22" s="185">
        <v>2.0</v>
      </c>
      <c r="S22" s="184">
        <f t="shared" si="4"/>
        <v>9</v>
      </c>
      <c r="T22" s="125"/>
    </row>
    <row r="23" ht="15.75" customHeight="1">
      <c r="A23" s="123">
        <v>12.0</v>
      </c>
      <c r="B23" s="130" t="s">
        <v>1088</v>
      </c>
      <c r="C23" s="130" t="s">
        <v>1159</v>
      </c>
      <c r="D23" s="132" t="s">
        <v>1160</v>
      </c>
      <c r="E23" s="125" t="s">
        <v>1161</v>
      </c>
      <c r="F23" s="125"/>
      <c r="G23" s="132" t="s">
        <v>21</v>
      </c>
      <c r="H23" s="132" t="s">
        <v>830</v>
      </c>
      <c r="I23" s="132" t="s">
        <v>1093</v>
      </c>
      <c r="J23" s="133"/>
      <c r="K23" s="125"/>
      <c r="L23" s="132"/>
      <c r="M23" s="132" t="s">
        <v>1056</v>
      </c>
      <c r="N23" s="125"/>
      <c r="O23" s="184">
        <f t="shared" si="3"/>
        <v>22</v>
      </c>
      <c r="P23" s="185">
        <v>15.0</v>
      </c>
      <c r="Q23" s="185">
        <v>3.0</v>
      </c>
      <c r="R23" s="185">
        <v>2.0</v>
      </c>
      <c r="S23" s="184">
        <f t="shared" si="4"/>
        <v>7</v>
      </c>
      <c r="T23" s="125"/>
    </row>
    <row r="24" ht="15.75" customHeight="1">
      <c r="A24" s="123">
        <v>16.0</v>
      </c>
      <c r="B24" s="130" t="s">
        <v>1186</v>
      </c>
      <c r="C24" s="130" t="s">
        <v>1187</v>
      </c>
      <c r="D24" s="132" t="s">
        <v>1189</v>
      </c>
      <c r="E24" s="132" t="s">
        <v>1190</v>
      </c>
      <c r="F24" s="125"/>
      <c r="G24" s="132" t="s">
        <v>21</v>
      </c>
      <c r="H24" s="125"/>
      <c r="I24" s="132" t="s">
        <v>1191</v>
      </c>
      <c r="J24" s="133"/>
      <c r="K24" s="132"/>
      <c r="L24" s="125"/>
      <c r="M24" s="132"/>
      <c r="N24" s="125"/>
      <c r="O24" s="184">
        <f t="shared" si="3"/>
        <v>22</v>
      </c>
      <c r="P24" s="185">
        <v>13.0</v>
      </c>
      <c r="Q24" s="185">
        <v>1.0</v>
      </c>
      <c r="R24" s="185">
        <v>2.0</v>
      </c>
      <c r="S24" s="184">
        <f t="shared" si="4"/>
        <v>9</v>
      </c>
      <c r="T24" s="125"/>
    </row>
    <row r="25" ht="15.75" customHeight="1">
      <c r="A25" s="123">
        <v>19.0</v>
      </c>
      <c r="B25" s="130" t="s">
        <v>1126</v>
      </c>
      <c r="C25" s="130" t="s">
        <v>1214</v>
      </c>
      <c r="D25" s="132" t="s">
        <v>1215</v>
      </c>
      <c r="E25" s="125" t="s">
        <v>1216</v>
      </c>
      <c r="F25" s="125"/>
      <c r="G25" s="132" t="s">
        <v>1044</v>
      </c>
      <c r="H25" s="125" t="s">
        <v>1126</v>
      </c>
      <c r="I25" s="132"/>
      <c r="J25" s="133"/>
      <c r="K25" s="125"/>
      <c r="L25" s="125"/>
      <c r="M25" s="132" t="s">
        <v>1126</v>
      </c>
      <c r="N25" s="125"/>
      <c r="O25" s="184">
        <f t="shared" si="3"/>
        <v>22</v>
      </c>
      <c r="P25" s="185">
        <v>13.0</v>
      </c>
      <c r="Q25" s="185">
        <v>2.0</v>
      </c>
      <c r="R25" s="185">
        <v>1.0</v>
      </c>
      <c r="S25" s="184">
        <f t="shared" si="4"/>
        <v>9</v>
      </c>
      <c r="T25" s="125"/>
    </row>
    <row r="26" ht="15.75" customHeight="1">
      <c r="A26" s="123">
        <v>20.0</v>
      </c>
      <c r="B26" s="130" t="s">
        <v>596</v>
      </c>
      <c r="C26" s="130" t="s">
        <v>1221</v>
      </c>
      <c r="D26" s="132" t="s">
        <v>1223</v>
      </c>
      <c r="E26" s="125" t="str">
        <f>E10</f>
        <v>Product value - ML</v>
      </c>
      <c r="F26" s="125"/>
      <c r="G26" s="132" t="s">
        <v>1042</v>
      </c>
      <c r="H26" s="125" t="s">
        <v>830</v>
      </c>
      <c r="I26" s="132"/>
      <c r="J26" s="133" t="s">
        <v>1150</v>
      </c>
      <c r="K26" s="125"/>
      <c r="L26" s="125" t="s">
        <v>596</v>
      </c>
      <c r="M26" s="132"/>
      <c r="N26" s="95"/>
      <c r="O26" s="184">
        <f t="shared" si="3"/>
        <v>22</v>
      </c>
      <c r="P26" s="186">
        <v>14.0</v>
      </c>
      <c r="Q26" s="186">
        <v>3.0</v>
      </c>
      <c r="R26" s="186">
        <v>1.0</v>
      </c>
      <c r="S26" s="184">
        <f t="shared" si="4"/>
        <v>8</v>
      </c>
      <c r="T26" s="95"/>
    </row>
    <row r="27" ht="15.75" customHeight="1">
      <c r="A27" s="123">
        <v>21.0</v>
      </c>
      <c r="B27" s="130" t="s">
        <v>1416</v>
      </c>
      <c r="C27" s="130" t="s">
        <v>1419</v>
      </c>
      <c r="D27" s="132" t="s">
        <v>1420</v>
      </c>
      <c r="E27" s="132" t="s">
        <v>1421</v>
      </c>
      <c r="F27" s="125"/>
      <c r="G27" s="132" t="s">
        <v>1044</v>
      </c>
      <c r="H27" s="125"/>
      <c r="I27" s="132"/>
      <c r="J27" s="140" t="s">
        <v>1150</v>
      </c>
      <c r="K27" s="125"/>
      <c r="L27" s="132" t="s">
        <v>596</v>
      </c>
      <c r="M27" s="132" t="s">
        <v>1398</v>
      </c>
      <c r="N27" s="95"/>
      <c r="O27" s="184">
        <f t="shared" si="3"/>
        <v>22</v>
      </c>
      <c r="P27" s="186">
        <v>12.0</v>
      </c>
      <c r="Q27" s="186">
        <v>1.0</v>
      </c>
      <c r="R27" s="186">
        <v>1.0</v>
      </c>
      <c r="S27" s="184">
        <f t="shared" si="4"/>
        <v>10</v>
      </c>
      <c r="T27" s="95"/>
    </row>
    <row r="28" ht="15.75" customHeight="1">
      <c r="A28" s="123">
        <v>22.0</v>
      </c>
      <c r="B28" s="130" t="s">
        <v>1416</v>
      </c>
      <c r="C28" s="130" t="s">
        <v>64</v>
      </c>
      <c r="D28" s="132" t="s">
        <v>1422</v>
      </c>
      <c r="E28" s="132" t="s">
        <v>1423</v>
      </c>
      <c r="F28" s="125"/>
      <c r="G28" s="132" t="s">
        <v>1042</v>
      </c>
      <c r="H28" s="125" t="s">
        <v>830</v>
      </c>
      <c r="I28" s="132" t="s">
        <v>1397</v>
      </c>
      <c r="J28" s="140" t="s">
        <v>1150</v>
      </c>
      <c r="K28" s="125"/>
      <c r="L28" s="132" t="s">
        <v>596</v>
      </c>
      <c r="M28" s="132" t="s">
        <v>1172</v>
      </c>
      <c r="N28" s="95"/>
      <c r="O28" s="184">
        <f t="shared" si="3"/>
        <v>22</v>
      </c>
      <c r="P28" s="186">
        <v>16.0</v>
      </c>
      <c r="Q28" s="186">
        <v>4.0</v>
      </c>
      <c r="R28" s="186">
        <v>2.0</v>
      </c>
      <c r="S28" s="184">
        <f t="shared" si="4"/>
        <v>6</v>
      </c>
      <c r="T28" s="95"/>
    </row>
    <row r="29" ht="15.75" customHeight="1">
      <c r="A29" s="130">
        <v>41.0</v>
      </c>
      <c r="B29" s="130" t="s">
        <v>1416</v>
      </c>
      <c r="C29" s="130" t="s">
        <v>1424</v>
      </c>
      <c r="D29" s="132" t="s">
        <v>1425</v>
      </c>
      <c r="E29" s="132" t="s">
        <v>1423</v>
      </c>
      <c r="F29" s="125"/>
      <c r="G29" s="132" t="s">
        <v>1042</v>
      </c>
      <c r="H29" s="125" t="s">
        <v>830</v>
      </c>
      <c r="I29" s="132" t="s">
        <v>1397</v>
      </c>
      <c r="J29" s="140" t="s">
        <v>1150</v>
      </c>
      <c r="K29" s="125"/>
      <c r="L29" s="132" t="s">
        <v>596</v>
      </c>
      <c r="M29" s="132" t="s">
        <v>1172</v>
      </c>
      <c r="N29" s="95"/>
      <c r="O29" s="184"/>
      <c r="P29" s="186"/>
      <c r="Q29" s="186"/>
      <c r="R29" s="186"/>
      <c r="S29" s="184"/>
      <c r="T29" s="95"/>
    </row>
    <row r="30" ht="15.75" customHeight="1">
      <c r="A30" s="130">
        <v>42.0</v>
      </c>
      <c r="B30" s="130" t="s">
        <v>1416</v>
      </c>
      <c r="C30" s="130" t="s">
        <v>1426</v>
      </c>
      <c r="D30" s="132" t="s">
        <v>1427</v>
      </c>
      <c r="E30" s="132" t="s">
        <v>1423</v>
      </c>
      <c r="F30" s="125"/>
      <c r="G30" s="132" t="s">
        <v>1042</v>
      </c>
      <c r="H30" s="125" t="s">
        <v>830</v>
      </c>
      <c r="I30" s="132" t="s">
        <v>1397</v>
      </c>
      <c r="J30" s="140" t="s">
        <v>1150</v>
      </c>
      <c r="K30" s="125"/>
      <c r="L30" s="132" t="s">
        <v>596</v>
      </c>
      <c r="M30" s="132" t="s">
        <v>1172</v>
      </c>
      <c r="N30" s="95"/>
      <c r="O30" s="184"/>
      <c r="P30" s="186"/>
      <c r="Q30" s="186"/>
      <c r="R30" s="186"/>
      <c r="S30" s="184"/>
      <c r="T30" s="95"/>
    </row>
    <row r="31" ht="15.75" customHeight="1">
      <c r="A31" s="123">
        <v>24.0</v>
      </c>
      <c r="B31" s="130" t="s">
        <v>596</v>
      </c>
      <c r="C31" s="130" t="s">
        <v>126</v>
      </c>
      <c r="D31" s="132" t="s">
        <v>1428</v>
      </c>
      <c r="E31" s="132" t="s">
        <v>1178</v>
      </c>
      <c r="F31" s="125"/>
      <c r="G31" s="132" t="s">
        <v>1042</v>
      </c>
      <c r="H31" s="125" t="s">
        <v>830</v>
      </c>
      <c r="I31" s="132" t="s">
        <v>1397</v>
      </c>
      <c r="J31" s="133" t="s">
        <v>1150</v>
      </c>
      <c r="K31" s="125"/>
      <c r="L31" s="125" t="s">
        <v>596</v>
      </c>
      <c r="M31" s="132" t="s">
        <v>1063</v>
      </c>
      <c r="N31" s="95"/>
      <c r="O31" s="184">
        <f t="shared" ref="O31:O44" si="5">P31+S31</f>
        <v>22</v>
      </c>
      <c r="P31" s="186">
        <v>14.0</v>
      </c>
      <c r="Q31" s="186">
        <v>2.0</v>
      </c>
      <c r="R31" s="186">
        <v>2.0</v>
      </c>
      <c r="S31" s="184">
        <f t="shared" ref="S31:S44" si="6">(6-Q31)+(6-R31)</f>
        <v>8</v>
      </c>
      <c r="T31" s="95"/>
    </row>
    <row r="32" ht="15.75" customHeight="1">
      <c r="A32" s="123">
        <v>26.0</v>
      </c>
      <c r="B32" s="130" t="s">
        <v>596</v>
      </c>
      <c r="C32" s="130" t="s">
        <v>1242</v>
      </c>
      <c r="D32" s="132" t="s">
        <v>1429</v>
      </c>
      <c r="E32" s="132" t="s">
        <v>1178</v>
      </c>
      <c r="F32" s="125"/>
      <c r="G32" s="132" t="s">
        <v>1044</v>
      </c>
      <c r="H32" s="125" t="s">
        <v>830</v>
      </c>
      <c r="I32" s="132" t="s">
        <v>1071</v>
      </c>
      <c r="J32" s="133" t="s">
        <v>1150</v>
      </c>
      <c r="K32" s="125"/>
      <c r="L32" s="125" t="s">
        <v>596</v>
      </c>
      <c r="M32" s="132" t="s">
        <v>1071</v>
      </c>
      <c r="N32" s="95"/>
      <c r="O32" s="184">
        <f t="shared" si="5"/>
        <v>22</v>
      </c>
      <c r="P32" s="186">
        <v>14.0</v>
      </c>
      <c r="Q32" s="186">
        <v>2.0</v>
      </c>
      <c r="R32" s="186">
        <v>2.0</v>
      </c>
      <c r="S32" s="184">
        <f t="shared" si="6"/>
        <v>8</v>
      </c>
      <c r="T32" s="95"/>
    </row>
    <row r="33" ht="15.75" customHeight="1">
      <c r="A33" s="123">
        <v>36.0</v>
      </c>
      <c r="B33" s="130" t="s">
        <v>596</v>
      </c>
      <c r="C33" s="130" t="s">
        <v>1430</v>
      </c>
      <c r="D33" s="132" t="s">
        <v>1431</v>
      </c>
      <c r="E33" s="132" t="s">
        <v>1175</v>
      </c>
      <c r="F33" s="125"/>
      <c r="G33" s="132" t="s">
        <v>1042</v>
      </c>
      <c r="H33" s="125" t="s">
        <v>830</v>
      </c>
      <c r="I33" s="132"/>
      <c r="J33" s="140" t="s">
        <v>1150</v>
      </c>
      <c r="K33" s="125"/>
      <c r="L33" s="132" t="s">
        <v>596</v>
      </c>
      <c r="M33" s="125"/>
      <c r="N33" s="95"/>
      <c r="O33" s="184">
        <f t="shared" si="5"/>
        <v>22</v>
      </c>
      <c r="P33" s="186">
        <v>13.0</v>
      </c>
      <c r="Q33" s="186">
        <v>2.0</v>
      </c>
      <c r="R33" s="186">
        <v>1.0</v>
      </c>
      <c r="S33" s="184">
        <f t="shared" si="6"/>
        <v>9</v>
      </c>
      <c r="T33" s="95"/>
    </row>
    <row r="34" ht="15.75" customHeight="1">
      <c r="A34" s="123">
        <v>4.0</v>
      </c>
      <c r="B34" s="130" t="s">
        <v>1071</v>
      </c>
      <c r="C34" s="130" t="s">
        <v>1072</v>
      </c>
      <c r="D34" s="132" t="s">
        <v>1073</v>
      </c>
      <c r="E34" s="125"/>
      <c r="F34" s="125"/>
      <c r="G34" s="132" t="s">
        <v>1044</v>
      </c>
      <c r="H34" s="125"/>
      <c r="I34" s="125"/>
      <c r="J34" s="133"/>
      <c r="K34" s="125"/>
      <c r="L34" s="125"/>
      <c r="M34" s="132" t="s">
        <v>1432</v>
      </c>
      <c r="N34" s="125"/>
      <c r="O34" s="184">
        <f t="shared" si="5"/>
        <v>21</v>
      </c>
      <c r="P34" s="185">
        <v>12.0</v>
      </c>
      <c r="Q34" s="185">
        <v>1.0</v>
      </c>
      <c r="R34" s="185">
        <v>2.0</v>
      </c>
      <c r="S34" s="184">
        <f t="shared" si="6"/>
        <v>9</v>
      </c>
      <c r="T34" s="125"/>
    </row>
    <row r="35" ht="15.75" customHeight="1">
      <c r="A35" s="123">
        <v>42.0</v>
      </c>
      <c r="B35" s="130" t="s">
        <v>218</v>
      </c>
      <c r="C35" s="130" t="s">
        <v>1326</v>
      </c>
      <c r="D35" s="132" t="s">
        <v>1327</v>
      </c>
      <c r="E35" s="132" t="s">
        <v>1328</v>
      </c>
      <c r="F35" s="125"/>
      <c r="G35" s="132" t="s">
        <v>1044</v>
      </c>
      <c r="H35" s="132" t="s">
        <v>830</v>
      </c>
      <c r="I35" s="132"/>
      <c r="J35" s="140"/>
      <c r="K35" s="125"/>
      <c r="L35" s="132"/>
      <c r="M35" s="132" t="s">
        <v>596</v>
      </c>
      <c r="N35" s="95"/>
      <c r="O35" s="184">
        <f t="shared" si="5"/>
        <v>21</v>
      </c>
      <c r="P35" s="186">
        <v>16.0</v>
      </c>
      <c r="Q35" s="186">
        <v>4.0</v>
      </c>
      <c r="R35" s="186">
        <v>3.0</v>
      </c>
      <c r="S35" s="184">
        <f t="shared" si="6"/>
        <v>5</v>
      </c>
      <c r="T35" s="95"/>
    </row>
    <row r="36" ht="15.75" customHeight="1">
      <c r="A36" s="123">
        <v>27.0</v>
      </c>
      <c r="B36" s="130" t="s">
        <v>27</v>
      </c>
      <c r="C36" s="130" t="s">
        <v>1245</v>
      </c>
      <c r="D36" s="132" t="s">
        <v>1433</v>
      </c>
      <c r="E36" s="125"/>
      <c r="F36" s="125"/>
      <c r="G36" s="132" t="s">
        <v>1042</v>
      </c>
      <c r="H36" s="125" t="s">
        <v>830</v>
      </c>
      <c r="I36" s="132"/>
      <c r="J36" s="133" t="s">
        <v>1150</v>
      </c>
      <c r="K36" s="125"/>
      <c r="L36" s="125" t="s">
        <v>596</v>
      </c>
      <c r="M36" s="132"/>
      <c r="N36" s="95"/>
      <c r="O36" s="184">
        <f t="shared" si="5"/>
        <v>21</v>
      </c>
      <c r="P36" s="186">
        <v>16.0</v>
      </c>
      <c r="Q36" s="186">
        <v>4.0</v>
      </c>
      <c r="R36" s="186">
        <v>3.0</v>
      </c>
      <c r="S36" s="184">
        <f t="shared" si="6"/>
        <v>5</v>
      </c>
      <c r="T36" s="95"/>
    </row>
    <row r="37" ht="15.75" customHeight="1">
      <c r="A37" s="123">
        <v>31.0</v>
      </c>
      <c r="B37" s="130" t="s">
        <v>596</v>
      </c>
      <c r="C37" s="130" t="s">
        <v>1256</v>
      </c>
      <c r="D37" s="132" t="s">
        <v>1258</v>
      </c>
      <c r="E37" s="132"/>
      <c r="F37" s="125"/>
      <c r="G37" s="132" t="s">
        <v>1044</v>
      </c>
      <c r="H37" s="125" t="s">
        <v>830</v>
      </c>
      <c r="I37" s="132" t="s">
        <v>1088</v>
      </c>
      <c r="J37" s="140"/>
      <c r="K37" s="125"/>
      <c r="L37" s="132"/>
      <c r="M37" s="125"/>
      <c r="N37" s="95"/>
      <c r="O37" s="184">
        <f t="shared" si="5"/>
        <v>21</v>
      </c>
      <c r="P37" s="186">
        <v>13.0</v>
      </c>
      <c r="Q37" s="186">
        <v>3.0</v>
      </c>
      <c r="R37" s="186">
        <v>1.0</v>
      </c>
      <c r="S37" s="184">
        <f t="shared" si="6"/>
        <v>8</v>
      </c>
      <c r="T37" s="95"/>
    </row>
    <row r="38" ht="15.75" customHeight="1">
      <c r="A38" s="123">
        <v>34.0</v>
      </c>
      <c r="B38" s="130" t="s">
        <v>413</v>
      </c>
      <c r="C38" s="130" t="s">
        <v>1243</v>
      </c>
      <c r="D38" s="132" t="s">
        <v>1434</v>
      </c>
      <c r="E38" s="132"/>
      <c r="F38" s="125"/>
      <c r="G38" s="132" t="s">
        <v>1044</v>
      </c>
      <c r="H38" s="125" t="s">
        <v>830</v>
      </c>
      <c r="I38" s="132"/>
      <c r="J38" s="140"/>
      <c r="K38" s="125"/>
      <c r="L38" s="132"/>
      <c r="M38" s="125"/>
      <c r="N38" s="95"/>
      <c r="O38" s="184">
        <f t="shared" si="5"/>
        <v>21</v>
      </c>
      <c r="P38" s="186">
        <v>12.0</v>
      </c>
      <c r="Q38" s="186">
        <v>1.0</v>
      </c>
      <c r="R38" s="186">
        <v>2.0</v>
      </c>
      <c r="S38" s="184">
        <f t="shared" si="6"/>
        <v>9</v>
      </c>
      <c r="T38" s="95"/>
    </row>
    <row r="39" ht="15.75" customHeight="1">
      <c r="A39" s="123">
        <v>38.0</v>
      </c>
      <c r="B39" s="130" t="s">
        <v>473</v>
      </c>
      <c r="C39" s="130" t="s">
        <v>1289</v>
      </c>
      <c r="D39" s="132" t="s">
        <v>1290</v>
      </c>
      <c r="E39" s="132" t="s">
        <v>1287</v>
      </c>
      <c r="F39" s="125"/>
      <c r="G39" s="132" t="s">
        <v>1044</v>
      </c>
      <c r="H39" s="132" t="s">
        <v>1402</v>
      </c>
      <c r="I39" s="132"/>
      <c r="J39" s="140"/>
      <c r="K39" s="125"/>
      <c r="L39" s="132"/>
      <c r="M39" s="125" t="s">
        <v>596</v>
      </c>
      <c r="N39" s="95"/>
      <c r="O39" s="184">
        <f t="shared" si="5"/>
        <v>21</v>
      </c>
      <c r="P39" s="186">
        <v>14.0</v>
      </c>
      <c r="Q39" s="186">
        <v>2.0</v>
      </c>
      <c r="R39" s="186">
        <v>3.0</v>
      </c>
      <c r="S39" s="184">
        <f t="shared" si="6"/>
        <v>7</v>
      </c>
      <c r="T39" s="95"/>
    </row>
    <row r="40" ht="15.75" customHeight="1">
      <c r="A40" s="123">
        <v>25.0</v>
      </c>
      <c r="B40" s="130" t="s">
        <v>596</v>
      </c>
      <c r="C40" s="130" t="s">
        <v>540</v>
      </c>
      <c r="D40" s="132" t="s">
        <v>1435</v>
      </c>
      <c r="E40" s="132" t="s">
        <v>1178</v>
      </c>
      <c r="F40" s="125"/>
      <c r="G40" s="132" t="s">
        <v>1042</v>
      </c>
      <c r="H40" s="125" t="s">
        <v>830</v>
      </c>
      <c r="I40" s="132"/>
      <c r="J40" s="133" t="s">
        <v>1150</v>
      </c>
      <c r="K40" s="125"/>
      <c r="L40" s="125" t="s">
        <v>596</v>
      </c>
      <c r="M40" s="125"/>
      <c r="N40" s="95"/>
      <c r="O40" s="184">
        <f t="shared" si="5"/>
        <v>20</v>
      </c>
      <c r="P40" s="186">
        <v>14.0</v>
      </c>
      <c r="Q40" s="186">
        <v>4.0</v>
      </c>
      <c r="R40" s="186">
        <v>2.0</v>
      </c>
      <c r="S40" s="184">
        <f t="shared" si="6"/>
        <v>6</v>
      </c>
      <c r="T40" s="95"/>
    </row>
    <row r="41" ht="15.75" customHeight="1">
      <c r="A41" s="123">
        <v>39.0</v>
      </c>
      <c r="B41" s="130" t="s">
        <v>473</v>
      </c>
      <c r="C41" s="130" t="s">
        <v>1291</v>
      </c>
      <c r="D41" s="132" t="s">
        <v>1292</v>
      </c>
      <c r="E41" s="132" t="s">
        <v>1287</v>
      </c>
      <c r="F41" s="125"/>
      <c r="G41" s="132" t="s">
        <v>1044</v>
      </c>
      <c r="H41" s="132" t="s">
        <v>1402</v>
      </c>
      <c r="I41" s="132"/>
      <c r="J41" s="133"/>
      <c r="K41" s="125"/>
      <c r="L41" s="125"/>
      <c r="M41" s="125" t="s">
        <v>596</v>
      </c>
      <c r="N41" s="95"/>
      <c r="O41" s="184">
        <f t="shared" si="5"/>
        <v>20</v>
      </c>
      <c r="P41" s="186">
        <v>13.0</v>
      </c>
      <c r="Q41" s="186">
        <v>2.0</v>
      </c>
      <c r="R41" s="186">
        <v>3.0</v>
      </c>
      <c r="S41" s="184">
        <f t="shared" si="6"/>
        <v>7</v>
      </c>
      <c r="T41" s="95"/>
    </row>
    <row r="42" ht="15.75" customHeight="1">
      <c r="A42" s="123">
        <v>35.0</v>
      </c>
      <c r="B42" s="130" t="s">
        <v>1385</v>
      </c>
      <c r="C42" s="130" t="s">
        <v>1273</v>
      </c>
      <c r="D42" s="132" t="s">
        <v>1436</v>
      </c>
      <c r="E42" s="125"/>
      <c r="F42" s="125"/>
      <c r="G42" s="132" t="s">
        <v>1044</v>
      </c>
      <c r="H42" s="132" t="s">
        <v>1402</v>
      </c>
      <c r="I42" s="132"/>
      <c r="J42" s="133" t="s">
        <v>1150</v>
      </c>
      <c r="K42" s="125"/>
      <c r="L42" s="125"/>
      <c r="M42" s="125" t="s">
        <v>596</v>
      </c>
      <c r="N42" s="95"/>
      <c r="O42" s="184">
        <f t="shared" si="5"/>
        <v>19</v>
      </c>
      <c r="P42" s="186">
        <v>16.0</v>
      </c>
      <c r="Q42" s="186">
        <v>5.0</v>
      </c>
      <c r="R42" s="186">
        <v>4.0</v>
      </c>
      <c r="S42" s="184">
        <f t="shared" si="6"/>
        <v>3</v>
      </c>
      <c r="T42" s="95"/>
    </row>
    <row r="43" ht="15.75" customHeight="1">
      <c r="A43" s="123">
        <v>3.0</v>
      </c>
      <c r="B43" s="130" t="s">
        <v>596</v>
      </c>
      <c r="C43" s="130" t="s">
        <v>1066</v>
      </c>
      <c r="D43" s="132" t="s">
        <v>1068</v>
      </c>
      <c r="E43" s="125" t="s">
        <v>1069</v>
      </c>
      <c r="F43" s="125"/>
      <c r="G43" s="132" t="s">
        <v>1044</v>
      </c>
      <c r="H43" s="125" t="s">
        <v>830</v>
      </c>
      <c r="I43" s="125"/>
      <c r="J43" s="133"/>
      <c r="K43" s="125"/>
      <c r="L43" s="125"/>
      <c r="M43" s="132" t="s">
        <v>1063</v>
      </c>
      <c r="N43" s="125"/>
      <c r="O43" s="184">
        <f t="shared" si="5"/>
        <v>18</v>
      </c>
      <c r="P43" s="185">
        <v>14.0</v>
      </c>
      <c r="Q43" s="185">
        <v>5.0</v>
      </c>
      <c r="R43" s="185">
        <v>3.0</v>
      </c>
      <c r="S43" s="184">
        <f t="shared" si="6"/>
        <v>4</v>
      </c>
      <c r="T43" s="125"/>
    </row>
    <row r="44" ht="15.75" customHeight="1">
      <c r="A44" s="123">
        <v>40.0</v>
      </c>
      <c r="B44" s="130" t="s">
        <v>596</v>
      </c>
      <c r="C44" s="187" t="s">
        <v>1293</v>
      </c>
      <c r="D44" s="188" t="s">
        <v>1437</v>
      </c>
      <c r="E44" s="132" t="s">
        <v>1295</v>
      </c>
      <c r="F44" s="125"/>
      <c r="G44" s="132" t="s">
        <v>1044</v>
      </c>
      <c r="H44" s="125" t="s">
        <v>830</v>
      </c>
      <c r="I44" s="132" t="s">
        <v>1397</v>
      </c>
      <c r="J44" s="133" t="s">
        <v>1150</v>
      </c>
      <c r="K44" s="125"/>
      <c r="L44" s="132"/>
      <c r="M44" s="125" t="s">
        <v>596</v>
      </c>
      <c r="N44" s="95"/>
      <c r="O44" s="184">
        <f t="shared" si="5"/>
        <v>18</v>
      </c>
      <c r="P44" s="186">
        <v>12.0</v>
      </c>
      <c r="Q44" s="186">
        <v>3.0</v>
      </c>
      <c r="R44" s="186">
        <v>3.0</v>
      </c>
      <c r="S44" s="184">
        <f t="shared" si="6"/>
        <v>6</v>
      </c>
      <c r="T44" s="95"/>
    </row>
    <row r="45" ht="15.75" customHeight="1">
      <c r="B45" s="130"/>
      <c r="C45" s="130"/>
      <c r="D45" s="132"/>
      <c r="E45" s="132"/>
      <c r="F45" s="125"/>
      <c r="G45" s="132"/>
      <c r="H45" s="132"/>
      <c r="I45" s="132"/>
      <c r="J45" s="140"/>
      <c r="K45" s="125"/>
      <c r="L45" s="132"/>
      <c r="M45" s="125"/>
      <c r="N45" s="95"/>
      <c r="O45" s="21"/>
      <c r="P45" s="21"/>
      <c r="Q45" s="21"/>
      <c r="R45" s="21"/>
      <c r="S45" s="21"/>
      <c r="T45" s="95"/>
    </row>
    <row r="46" ht="15.75" customHeight="1">
      <c r="B46" s="130"/>
      <c r="C46" s="130"/>
      <c r="D46" s="132"/>
      <c r="E46" s="125"/>
      <c r="F46" s="125"/>
      <c r="G46" s="132"/>
      <c r="H46" s="125"/>
      <c r="I46" s="132"/>
      <c r="J46" s="133"/>
      <c r="K46" s="125"/>
      <c r="L46" s="125"/>
      <c r="M46" s="132"/>
      <c r="N46" s="95"/>
      <c r="O46" s="21"/>
      <c r="P46" s="21"/>
      <c r="Q46" s="21"/>
      <c r="R46" s="21"/>
      <c r="S46" s="21"/>
      <c r="T46" s="95"/>
    </row>
    <row r="47" ht="15.75" customHeight="1">
      <c r="B47" s="130"/>
      <c r="C47" s="130"/>
      <c r="D47" s="132"/>
      <c r="E47" s="132"/>
      <c r="F47" s="125"/>
      <c r="G47" s="132"/>
      <c r="H47" s="132"/>
      <c r="I47" s="132"/>
      <c r="J47" s="140"/>
      <c r="K47" s="125"/>
      <c r="L47" s="132"/>
      <c r="M47" s="125"/>
      <c r="N47" s="95"/>
      <c r="O47" s="21"/>
      <c r="P47" s="21"/>
      <c r="Q47" s="21"/>
      <c r="R47" s="21"/>
      <c r="S47" s="21"/>
      <c r="T47" s="95"/>
    </row>
    <row r="48" ht="15.75" customHeight="1">
      <c r="B48" s="130"/>
      <c r="C48" s="130"/>
      <c r="D48" s="132"/>
      <c r="E48" s="125"/>
      <c r="F48" s="125"/>
      <c r="G48" s="132"/>
      <c r="H48" s="125"/>
      <c r="I48" s="132"/>
      <c r="J48" s="133"/>
      <c r="K48" s="125"/>
      <c r="L48" s="125"/>
      <c r="M48" s="132"/>
      <c r="N48" s="95"/>
      <c r="O48" s="21"/>
      <c r="P48" s="21"/>
      <c r="Q48" s="21"/>
      <c r="R48" s="21"/>
      <c r="S48" s="21"/>
      <c r="T48" s="95"/>
    </row>
    <row r="49" ht="15.75" customHeight="1">
      <c r="B49" s="130"/>
      <c r="C49" s="130"/>
      <c r="D49" s="132"/>
      <c r="E49" s="132"/>
      <c r="F49" s="125"/>
      <c r="G49" s="132"/>
      <c r="H49" s="132"/>
      <c r="I49" s="132"/>
      <c r="J49" s="140"/>
      <c r="K49" s="125"/>
      <c r="L49" s="132"/>
      <c r="M49" s="125"/>
      <c r="N49" s="95"/>
      <c r="O49" s="21"/>
      <c r="P49" s="21"/>
      <c r="Q49" s="21"/>
      <c r="R49" s="21"/>
      <c r="S49" s="21"/>
      <c r="T49" s="95"/>
    </row>
    <row r="50" ht="15.75" customHeight="1">
      <c r="B50" s="130"/>
      <c r="C50" s="130"/>
      <c r="D50" s="132"/>
      <c r="E50" s="125"/>
      <c r="F50" s="125"/>
      <c r="G50" s="132"/>
      <c r="H50" s="125"/>
      <c r="I50" s="132"/>
      <c r="J50" s="133"/>
      <c r="K50" s="125"/>
      <c r="L50" s="125"/>
      <c r="M50" s="132"/>
      <c r="N50" s="95"/>
      <c r="O50" s="21"/>
      <c r="P50" s="21"/>
      <c r="Q50" s="21"/>
      <c r="R50" s="21"/>
      <c r="S50" s="21"/>
      <c r="T50" s="95"/>
    </row>
    <row r="51" ht="15.75" customHeight="1">
      <c r="A51" s="123"/>
      <c r="B51" s="130"/>
      <c r="C51" s="130"/>
      <c r="D51" s="132"/>
      <c r="E51" s="132"/>
      <c r="G51" s="132"/>
      <c r="H51" s="132"/>
      <c r="I51" s="132"/>
      <c r="J51" s="140"/>
      <c r="K51" s="125"/>
      <c r="L51" s="132"/>
      <c r="M51" s="125"/>
      <c r="N51" s="95"/>
      <c r="O51" s="21"/>
      <c r="P51" s="21"/>
      <c r="Q51" s="21"/>
      <c r="R51" s="21"/>
      <c r="S51" s="21"/>
      <c r="T51" s="95"/>
    </row>
    <row r="52" ht="15.75" customHeight="1">
      <c r="B52" s="95"/>
      <c r="C52" s="95"/>
      <c r="D52" s="95"/>
      <c r="E52" s="95"/>
      <c r="F52" s="95"/>
      <c r="G52" s="95"/>
      <c r="H52" s="95"/>
      <c r="I52" s="95"/>
      <c r="J52" s="95"/>
      <c r="K52" s="95"/>
      <c r="L52" s="95"/>
      <c r="M52" s="95"/>
      <c r="N52" s="95"/>
      <c r="O52" s="21"/>
      <c r="P52" s="21"/>
      <c r="Q52" s="21"/>
      <c r="R52" s="21"/>
      <c r="S52" s="21"/>
      <c r="T52" s="95"/>
    </row>
    <row r="53" ht="15.75" customHeight="1">
      <c r="B53" s="95"/>
      <c r="C53" s="95"/>
      <c r="D53" s="95"/>
      <c r="E53" s="95"/>
      <c r="F53" s="95"/>
      <c r="G53" s="95"/>
      <c r="H53" s="95"/>
      <c r="I53" s="95"/>
      <c r="J53" s="95"/>
      <c r="K53" s="95"/>
      <c r="L53" s="95"/>
      <c r="M53" s="95"/>
      <c r="N53" s="95"/>
      <c r="O53" s="21"/>
      <c r="P53" s="21"/>
      <c r="Q53" s="21"/>
      <c r="R53" s="21"/>
      <c r="S53" s="21"/>
      <c r="T53" s="95"/>
    </row>
    <row r="54" ht="15.75" customHeight="1">
      <c r="B54" s="95"/>
      <c r="C54" s="95"/>
      <c r="D54" s="95"/>
      <c r="E54" s="95"/>
      <c r="F54" s="95"/>
      <c r="G54" s="95"/>
      <c r="H54" s="95"/>
      <c r="I54" s="95"/>
      <c r="J54" s="95"/>
      <c r="K54" s="95"/>
      <c r="L54" s="95"/>
      <c r="M54" s="95"/>
      <c r="N54" s="95"/>
      <c r="O54" s="21"/>
      <c r="P54" s="21"/>
      <c r="Q54" s="21"/>
      <c r="R54" s="21"/>
      <c r="S54" s="21"/>
      <c r="T54" s="95"/>
    </row>
    <row r="55" ht="15.75" customHeight="1">
      <c r="B55" s="95"/>
      <c r="C55" s="95"/>
      <c r="D55" s="95"/>
      <c r="E55" s="95"/>
      <c r="F55" s="95"/>
      <c r="G55" s="95"/>
      <c r="H55" s="95"/>
      <c r="I55" s="95"/>
      <c r="J55" s="95"/>
      <c r="K55" s="95"/>
      <c r="L55" s="95"/>
      <c r="M55" s="95"/>
      <c r="N55" s="95"/>
      <c r="O55" s="21"/>
      <c r="P55" s="21"/>
      <c r="Q55" s="21"/>
      <c r="R55" s="21"/>
      <c r="S55" s="21"/>
      <c r="T55" s="95"/>
    </row>
    <row r="56" ht="15.75" customHeight="1">
      <c r="B56" s="95"/>
      <c r="C56" s="95"/>
      <c r="D56" s="95"/>
      <c r="E56" s="95"/>
      <c r="F56" s="95"/>
      <c r="G56" s="95"/>
      <c r="H56" s="95"/>
      <c r="I56" s="95"/>
      <c r="J56" s="95"/>
      <c r="K56" s="95"/>
      <c r="L56" s="95"/>
      <c r="M56" s="95"/>
      <c r="N56" s="95"/>
      <c r="O56" s="21"/>
      <c r="P56" s="21"/>
      <c r="Q56" s="21"/>
      <c r="R56" s="21"/>
      <c r="S56" s="21"/>
      <c r="T56" s="95"/>
    </row>
    <row r="57" ht="15.75" customHeight="1">
      <c r="A57" s="95"/>
      <c r="B57" s="95"/>
      <c r="C57" s="95"/>
      <c r="D57" s="95"/>
      <c r="E57" s="95"/>
      <c r="F57" s="95"/>
      <c r="G57" s="95"/>
      <c r="H57" s="95"/>
      <c r="I57" s="95"/>
      <c r="J57" s="95"/>
      <c r="K57" s="95"/>
      <c r="L57" s="95"/>
      <c r="M57" s="95"/>
      <c r="N57" s="95"/>
      <c r="O57" s="21"/>
      <c r="P57" s="21"/>
      <c r="Q57" s="21"/>
      <c r="R57" s="21"/>
      <c r="S57" s="21"/>
      <c r="T57" s="95"/>
    </row>
    <row r="58" ht="15.75" customHeight="1">
      <c r="A58" s="95"/>
      <c r="B58" s="95"/>
      <c r="C58" s="95"/>
      <c r="D58" s="95"/>
      <c r="E58" s="95"/>
      <c r="F58" s="95"/>
      <c r="G58" s="95"/>
      <c r="H58" s="95"/>
      <c r="I58" s="95"/>
      <c r="J58" s="95"/>
      <c r="K58" s="95"/>
      <c r="L58" s="95"/>
      <c r="M58" s="95"/>
      <c r="N58" s="95"/>
      <c r="O58" s="21"/>
      <c r="P58" s="21"/>
      <c r="Q58" s="21"/>
      <c r="R58" s="21"/>
      <c r="S58" s="21"/>
      <c r="T58" s="95"/>
    </row>
    <row r="59" ht="15.75" customHeight="1">
      <c r="A59" s="95"/>
      <c r="B59" s="95"/>
      <c r="C59" s="95"/>
      <c r="D59" s="95"/>
      <c r="E59" s="95"/>
      <c r="F59" s="95"/>
      <c r="G59" s="95"/>
      <c r="H59" s="95"/>
      <c r="I59" s="95"/>
      <c r="J59" s="95"/>
      <c r="K59" s="95"/>
      <c r="L59" s="95"/>
      <c r="M59" s="95"/>
      <c r="N59" s="95"/>
      <c r="O59" s="21"/>
      <c r="P59" s="21"/>
      <c r="Q59" s="21"/>
      <c r="R59" s="21"/>
      <c r="S59" s="21"/>
      <c r="T59" s="95"/>
    </row>
    <row r="60" ht="15.75" customHeight="1">
      <c r="A60" s="95"/>
      <c r="B60" s="95"/>
      <c r="C60" s="95"/>
      <c r="D60" s="95"/>
      <c r="E60" s="95"/>
      <c r="F60" s="95"/>
      <c r="G60" s="95"/>
      <c r="H60" s="95"/>
      <c r="I60" s="95"/>
      <c r="J60" s="95"/>
      <c r="K60" s="95"/>
      <c r="L60" s="95"/>
      <c r="M60" s="95"/>
      <c r="N60" s="95"/>
      <c r="O60" s="21"/>
      <c r="P60" s="21"/>
      <c r="Q60" s="21"/>
      <c r="R60" s="21"/>
      <c r="S60" s="21"/>
      <c r="T60" s="95"/>
    </row>
    <row r="61" ht="15.75" customHeight="1">
      <c r="A61" s="95"/>
      <c r="B61" s="95"/>
      <c r="C61" s="95"/>
      <c r="D61" s="95"/>
      <c r="E61" s="95"/>
      <c r="F61" s="95"/>
      <c r="G61" s="95"/>
      <c r="H61" s="95"/>
      <c r="I61" s="95"/>
      <c r="J61" s="95"/>
      <c r="K61" s="95"/>
      <c r="L61" s="95"/>
      <c r="M61" s="95"/>
      <c r="N61" s="95"/>
      <c r="O61" s="21"/>
      <c r="P61" s="21"/>
      <c r="Q61" s="21"/>
      <c r="R61" s="21"/>
      <c r="S61" s="21"/>
      <c r="T61" s="95"/>
    </row>
    <row r="62" ht="15.75" customHeight="1">
      <c r="A62" s="95"/>
      <c r="B62" s="95"/>
      <c r="C62" s="95"/>
      <c r="D62" s="95"/>
      <c r="E62" s="95"/>
      <c r="F62" s="95"/>
      <c r="G62" s="95"/>
      <c r="H62" s="95"/>
      <c r="I62" s="95"/>
      <c r="J62" s="95"/>
      <c r="K62" s="95"/>
      <c r="L62" s="95"/>
      <c r="M62" s="95"/>
      <c r="N62" s="95"/>
      <c r="O62" s="21"/>
      <c r="P62" s="21"/>
      <c r="Q62" s="21"/>
      <c r="R62" s="21"/>
      <c r="S62" s="21"/>
      <c r="T62" s="95"/>
    </row>
    <row r="63" ht="15.75" customHeight="1">
      <c r="A63" s="95"/>
      <c r="B63" s="95"/>
      <c r="C63" s="95"/>
      <c r="D63" s="95"/>
      <c r="E63" s="95"/>
      <c r="F63" s="95"/>
      <c r="G63" s="95"/>
      <c r="H63" s="95"/>
      <c r="I63" s="95"/>
      <c r="J63" s="95"/>
      <c r="K63" s="95"/>
      <c r="L63" s="95"/>
      <c r="M63" s="95"/>
      <c r="N63" s="95"/>
      <c r="O63" s="21"/>
      <c r="P63" s="21"/>
      <c r="Q63" s="21"/>
      <c r="R63" s="21"/>
      <c r="S63" s="21"/>
      <c r="T63" s="95"/>
    </row>
    <row r="64" ht="15.75" customHeight="1">
      <c r="A64" s="95"/>
      <c r="B64" s="95"/>
      <c r="C64" s="95"/>
      <c r="D64" s="95"/>
      <c r="E64" s="95"/>
      <c r="F64" s="95"/>
      <c r="G64" s="95"/>
      <c r="H64" s="95"/>
      <c r="I64" s="95"/>
      <c r="J64" s="95"/>
      <c r="K64" s="95"/>
      <c r="L64" s="95"/>
      <c r="M64" s="95"/>
      <c r="N64" s="95"/>
      <c r="O64" s="21"/>
      <c r="P64" s="21"/>
      <c r="Q64" s="21"/>
      <c r="R64" s="21"/>
      <c r="S64" s="21"/>
      <c r="T64" s="95"/>
    </row>
    <row r="65" ht="15.75" customHeight="1">
      <c r="A65" s="95"/>
      <c r="B65" s="95"/>
      <c r="C65" s="95"/>
      <c r="D65" s="95"/>
      <c r="E65" s="95"/>
      <c r="F65" s="95"/>
      <c r="G65" s="95"/>
      <c r="H65" s="95"/>
      <c r="I65" s="95"/>
      <c r="J65" s="95"/>
      <c r="K65" s="95"/>
      <c r="L65" s="95"/>
      <c r="M65" s="95"/>
      <c r="N65" s="95"/>
      <c r="O65" s="21"/>
      <c r="P65" s="21"/>
      <c r="Q65" s="21"/>
      <c r="R65" s="21"/>
      <c r="S65" s="21"/>
      <c r="T65" s="95"/>
    </row>
    <row r="66" ht="15.75" customHeight="1">
      <c r="A66" s="95"/>
      <c r="B66" s="95"/>
      <c r="C66" s="95"/>
      <c r="D66" s="95"/>
      <c r="E66" s="95"/>
      <c r="F66" s="95"/>
      <c r="G66" s="95"/>
      <c r="H66" s="95"/>
      <c r="I66" s="95"/>
      <c r="J66" s="95"/>
      <c r="K66" s="95"/>
      <c r="L66" s="95"/>
      <c r="M66" s="95"/>
      <c r="N66" s="95"/>
      <c r="O66" s="21"/>
      <c r="P66" s="21"/>
      <c r="Q66" s="21"/>
      <c r="R66" s="21"/>
      <c r="S66" s="21"/>
      <c r="T66" s="95"/>
    </row>
    <row r="67" ht="15.75" customHeight="1">
      <c r="A67" s="95"/>
      <c r="B67" s="95"/>
      <c r="C67" s="95"/>
      <c r="D67" s="95"/>
      <c r="E67" s="95"/>
      <c r="F67" s="95"/>
      <c r="G67" s="95"/>
      <c r="H67" s="95"/>
      <c r="I67" s="95"/>
      <c r="J67" s="95"/>
      <c r="K67" s="95"/>
      <c r="L67" s="95"/>
      <c r="M67" s="95"/>
      <c r="N67" s="95"/>
      <c r="O67" s="21"/>
      <c r="P67" s="21"/>
      <c r="Q67" s="21"/>
      <c r="R67" s="21"/>
      <c r="S67" s="21"/>
      <c r="T67" s="95"/>
    </row>
    <row r="68" ht="15.75" customHeight="1">
      <c r="A68" s="95"/>
      <c r="B68" s="95"/>
      <c r="C68" s="95"/>
      <c r="D68" s="95"/>
      <c r="E68" s="95"/>
      <c r="F68" s="95"/>
      <c r="G68" s="95"/>
      <c r="H68" s="95"/>
      <c r="I68" s="95"/>
      <c r="J68" s="95"/>
      <c r="K68" s="95"/>
      <c r="L68" s="95"/>
      <c r="M68" s="95"/>
      <c r="N68" s="95"/>
      <c r="O68" s="21"/>
      <c r="P68" s="21"/>
      <c r="Q68" s="21"/>
      <c r="R68" s="21"/>
      <c r="S68" s="21"/>
      <c r="T68" s="95"/>
    </row>
    <row r="69" ht="15.75" customHeight="1">
      <c r="A69" s="95"/>
      <c r="B69" s="95"/>
      <c r="C69" s="95"/>
      <c r="D69" s="95"/>
      <c r="E69" s="95"/>
      <c r="F69" s="95"/>
      <c r="G69" s="95"/>
      <c r="H69" s="95"/>
      <c r="I69" s="95"/>
      <c r="J69" s="95"/>
      <c r="K69" s="95"/>
      <c r="L69" s="95"/>
      <c r="M69" s="95"/>
      <c r="N69" s="95"/>
      <c r="O69" s="21"/>
      <c r="P69" s="21"/>
      <c r="Q69" s="21"/>
      <c r="R69" s="21"/>
      <c r="S69" s="21"/>
      <c r="T69" s="95"/>
    </row>
    <row r="70" ht="15.75" customHeight="1">
      <c r="A70" s="95"/>
      <c r="B70" s="95"/>
      <c r="C70" s="95"/>
      <c r="D70" s="95"/>
      <c r="E70" s="95"/>
      <c r="F70" s="95"/>
      <c r="G70" s="95"/>
      <c r="H70" s="95"/>
      <c r="I70" s="95"/>
      <c r="J70" s="95"/>
      <c r="K70" s="95"/>
      <c r="L70" s="95"/>
      <c r="M70" s="95"/>
      <c r="N70" s="95"/>
      <c r="O70" s="21"/>
      <c r="P70" s="21"/>
      <c r="Q70" s="21"/>
      <c r="R70" s="21"/>
      <c r="S70" s="21"/>
      <c r="T70" s="95"/>
    </row>
    <row r="71" ht="15.75" customHeight="1">
      <c r="A71" s="95"/>
      <c r="B71" s="95"/>
      <c r="C71" s="95"/>
      <c r="D71" s="95"/>
      <c r="E71" s="95"/>
      <c r="F71" s="95"/>
      <c r="G71" s="95"/>
      <c r="H71" s="95"/>
      <c r="I71" s="95"/>
      <c r="J71" s="95"/>
      <c r="K71" s="95"/>
      <c r="L71" s="95"/>
      <c r="M71" s="95"/>
      <c r="N71" s="95"/>
      <c r="O71" s="21"/>
      <c r="P71" s="21"/>
      <c r="Q71" s="21"/>
      <c r="R71" s="21"/>
      <c r="S71" s="21"/>
      <c r="T71" s="95"/>
    </row>
    <row r="72" ht="15.75" customHeight="1">
      <c r="A72" s="95"/>
      <c r="B72" s="95"/>
      <c r="C72" s="95"/>
      <c r="D72" s="95"/>
      <c r="E72" s="95"/>
      <c r="F72" s="95"/>
      <c r="G72" s="95"/>
      <c r="H72" s="95"/>
      <c r="I72" s="95"/>
      <c r="J72" s="95"/>
      <c r="K72" s="95"/>
      <c r="L72" s="95"/>
      <c r="M72" s="95"/>
      <c r="N72" s="95"/>
      <c r="O72" s="21"/>
      <c r="P72" s="21"/>
      <c r="Q72" s="21"/>
      <c r="R72" s="21"/>
      <c r="S72" s="21"/>
      <c r="T72" s="95"/>
    </row>
    <row r="73" ht="15.75" customHeight="1">
      <c r="A73" s="95"/>
      <c r="B73" s="95"/>
      <c r="C73" s="95"/>
      <c r="D73" s="95"/>
      <c r="E73" s="95"/>
      <c r="F73" s="95"/>
      <c r="G73" s="95"/>
      <c r="H73" s="95"/>
      <c r="I73" s="95"/>
      <c r="J73" s="95"/>
      <c r="K73" s="95"/>
      <c r="L73" s="95"/>
      <c r="M73" s="95"/>
      <c r="N73" s="95"/>
      <c r="O73" s="21"/>
      <c r="P73" s="21"/>
      <c r="Q73" s="21"/>
      <c r="R73" s="21"/>
      <c r="S73" s="21"/>
      <c r="T73" s="95"/>
    </row>
    <row r="74" ht="15.75" customHeight="1">
      <c r="A74" s="95"/>
      <c r="B74" s="95"/>
      <c r="C74" s="95"/>
      <c r="D74" s="95"/>
      <c r="E74" s="95"/>
      <c r="F74" s="95"/>
      <c r="G74" s="95"/>
      <c r="H74" s="95"/>
      <c r="I74" s="95"/>
      <c r="J74" s="95"/>
      <c r="K74" s="95"/>
      <c r="L74" s="95"/>
      <c r="M74" s="95"/>
      <c r="N74" s="95"/>
      <c r="O74" s="21"/>
      <c r="P74" s="21"/>
      <c r="Q74" s="21"/>
      <c r="R74" s="21"/>
      <c r="S74" s="21"/>
      <c r="T74" s="95"/>
    </row>
    <row r="75" ht="15.75" customHeight="1">
      <c r="A75" s="95"/>
      <c r="B75" s="95"/>
      <c r="C75" s="95"/>
      <c r="D75" s="95"/>
      <c r="E75" s="95"/>
      <c r="F75" s="95"/>
      <c r="G75" s="95"/>
      <c r="H75" s="95"/>
      <c r="I75" s="95"/>
      <c r="J75" s="95"/>
      <c r="K75" s="95"/>
      <c r="L75" s="95"/>
      <c r="M75" s="95"/>
      <c r="N75" s="95"/>
      <c r="O75" s="21"/>
      <c r="P75" s="21"/>
      <c r="Q75" s="21"/>
      <c r="R75" s="21"/>
      <c r="S75" s="21"/>
      <c r="T75" s="95"/>
    </row>
    <row r="76" ht="15.75" customHeight="1">
      <c r="A76" s="95"/>
      <c r="B76" s="95"/>
      <c r="C76" s="95"/>
      <c r="D76" s="95"/>
      <c r="E76" s="95"/>
      <c r="F76" s="95"/>
      <c r="G76" s="95"/>
      <c r="H76" s="95"/>
      <c r="I76" s="95"/>
      <c r="J76" s="95"/>
      <c r="K76" s="95"/>
      <c r="L76" s="95"/>
      <c r="M76" s="95"/>
      <c r="N76" s="95"/>
      <c r="O76" s="21"/>
      <c r="P76" s="21"/>
      <c r="Q76" s="21"/>
      <c r="R76" s="21"/>
      <c r="S76" s="21"/>
      <c r="T76" s="95"/>
    </row>
    <row r="77" ht="15.75" customHeight="1">
      <c r="A77" s="95"/>
      <c r="B77" s="95"/>
      <c r="C77" s="95"/>
      <c r="D77" s="95"/>
      <c r="E77" s="95"/>
      <c r="F77" s="95"/>
      <c r="G77" s="95"/>
      <c r="H77" s="95"/>
      <c r="I77" s="95"/>
      <c r="J77" s="95"/>
      <c r="K77" s="95"/>
      <c r="L77" s="95"/>
      <c r="M77" s="95"/>
      <c r="N77" s="95"/>
      <c r="O77" s="21"/>
      <c r="P77" s="21"/>
      <c r="Q77" s="21"/>
      <c r="R77" s="21"/>
      <c r="S77" s="21"/>
      <c r="T77" s="95"/>
    </row>
    <row r="78" ht="15.75" customHeight="1">
      <c r="A78" s="95"/>
      <c r="B78" s="95"/>
      <c r="C78" s="95"/>
      <c r="D78" s="95"/>
      <c r="E78" s="95"/>
      <c r="F78" s="95"/>
      <c r="G78" s="95"/>
      <c r="H78" s="95"/>
      <c r="I78" s="95"/>
      <c r="J78" s="95"/>
      <c r="K78" s="95"/>
      <c r="L78" s="95"/>
      <c r="M78" s="95"/>
      <c r="N78" s="95"/>
      <c r="O78" s="21"/>
      <c r="P78" s="21"/>
      <c r="Q78" s="21"/>
      <c r="R78" s="21"/>
      <c r="S78" s="21"/>
      <c r="T78" s="95"/>
    </row>
    <row r="79" ht="15.75" customHeight="1">
      <c r="A79" s="95"/>
      <c r="B79" s="95"/>
      <c r="C79" s="95"/>
      <c r="D79" s="95"/>
      <c r="E79" s="95"/>
      <c r="F79" s="95"/>
      <c r="G79" s="95"/>
      <c r="H79" s="95"/>
      <c r="I79" s="95"/>
      <c r="J79" s="95"/>
      <c r="K79" s="95"/>
      <c r="L79" s="95"/>
      <c r="M79" s="95"/>
      <c r="N79" s="95"/>
      <c r="O79" s="21"/>
      <c r="P79" s="21"/>
      <c r="Q79" s="21"/>
      <c r="R79" s="21"/>
      <c r="S79" s="21"/>
      <c r="T79" s="95"/>
    </row>
    <row r="80" ht="15.75" customHeight="1">
      <c r="A80" s="95"/>
      <c r="B80" s="95"/>
      <c r="C80" s="95"/>
      <c r="D80" s="95"/>
      <c r="E80" s="95"/>
      <c r="F80" s="95"/>
      <c r="G80" s="95"/>
      <c r="H80" s="95"/>
      <c r="I80" s="95"/>
      <c r="J80" s="95"/>
      <c r="K80" s="95"/>
      <c r="L80" s="95"/>
      <c r="M80" s="95"/>
      <c r="N80" s="95"/>
      <c r="O80" s="21"/>
      <c r="P80" s="21"/>
      <c r="Q80" s="21"/>
      <c r="R80" s="21"/>
      <c r="S80" s="21"/>
      <c r="T80" s="95"/>
    </row>
    <row r="81" ht="15.75" customHeight="1">
      <c r="A81" s="95"/>
      <c r="B81" s="95"/>
      <c r="C81" s="95"/>
      <c r="D81" s="95"/>
      <c r="E81" s="95"/>
      <c r="F81" s="95"/>
      <c r="G81" s="95"/>
      <c r="H81" s="95"/>
      <c r="I81" s="95"/>
      <c r="J81" s="95"/>
      <c r="K81" s="95"/>
      <c r="L81" s="95"/>
      <c r="M81" s="95"/>
      <c r="N81" s="95"/>
      <c r="O81" s="21"/>
      <c r="P81" s="21"/>
      <c r="Q81" s="21"/>
      <c r="R81" s="21"/>
      <c r="S81" s="21"/>
      <c r="T81" s="95"/>
    </row>
    <row r="82" ht="15.75" customHeight="1">
      <c r="A82" s="95"/>
      <c r="B82" s="95"/>
      <c r="C82" s="95"/>
      <c r="D82" s="95"/>
      <c r="E82" s="95"/>
      <c r="F82" s="95"/>
      <c r="G82" s="95"/>
      <c r="H82" s="95"/>
      <c r="I82" s="95"/>
      <c r="J82" s="95"/>
      <c r="K82" s="95"/>
      <c r="L82" s="95"/>
      <c r="M82" s="95"/>
      <c r="N82" s="95"/>
      <c r="O82" s="21"/>
      <c r="P82" s="21"/>
      <c r="Q82" s="21"/>
      <c r="R82" s="21"/>
      <c r="S82" s="21"/>
      <c r="T82" s="95"/>
    </row>
    <row r="83" ht="15.75" customHeight="1">
      <c r="A83" s="95"/>
      <c r="B83" s="95"/>
      <c r="C83" s="95"/>
      <c r="D83" s="95"/>
      <c r="E83" s="95"/>
      <c r="F83" s="95"/>
      <c r="G83" s="95"/>
      <c r="H83" s="95"/>
      <c r="I83" s="95"/>
      <c r="J83" s="95"/>
      <c r="K83" s="95"/>
      <c r="L83" s="95"/>
      <c r="M83" s="95"/>
      <c r="N83" s="95"/>
      <c r="O83" s="21"/>
      <c r="P83" s="21"/>
      <c r="Q83" s="21"/>
      <c r="R83" s="21"/>
      <c r="S83" s="21"/>
      <c r="T83" s="95"/>
    </row>
    <row r="84" ht="15.75" customHeight="1">
      <c r="A84" s="95"/>
      <c r="B84" s="95"/>
      <c r="C84" s="95"/>
      <c r="D84" s="95"/>
      <c r="E84" s="95"/>
      <c r="F84" s="95"/>
      <c r="G84" s="95"/>
      <c r="H84" s="95"/>
      <c r="I84" s="95"/>
      <c r="J84" s="95"/>
      <c r="K84" s="95"/>
      <c r="L84" s="95"/>
      <c r="M84" s="95"/>
      <c r="N84" s="95"/>
      <c r="O84" s="21"/>
      <c r="P84" s="21"/>
      <c r="Q84" s="21"/>
      <c r="R84" s="21"/>
      <c r="S84" s="21"/>
      <c r="T84" s="95"/>
    </row>
    <row r="85" ht="15.75" customHeight="1">
      <c r="A85" s="95"/>
      <c r="B85" s="95"/>
      <c r="C85" s="95"/>
      <c r="D85" s="95"/>
      <c r="E85" s="95"/>
      <c r="F85" s="95"/>
      <c r="G85" s="95"/>
      <c r="H85" s="95"/>
      <c r="I85" s="95"/>
      <c r="J85" s="95"/>
      <c r="K85" s="95"/>
      <c r="L85" s="95"/>
      <c r="M85" s="95"/>
      <c r="N85" s="95"/>
      <c r="O85" s="21"/>
      <c r="P85" s="21"/>
      <c r="Q85" s="21"/>
      <c r="R85" s="21"/>
      <c r="S85" s="21"/>
      <c r="T85" s="95"/>
    </row>
    <row r="86" ht="15.75" customHeight="1">
      <c r="A86" s="95"/>
      <c r="B86" s="95"/>
      <c r="C86" s="95"/>
      <c r="D86" s="95"/>
      <c r="E86" s="95"/>
      <c r="F86" s="95"/>
      <c r="G86" s="95"/>
      <c r="H86" s="95"/>
      <c r="I86" s="95"/>
      <c r="J86" s="95"/>
      <c r="K86" s="95"/>
      <c r="L86" s="95"/>
      <c r="M86" s="95"/>
      <c r="N86" s="95"/>
      <c r="O86" s="21"/>
      <c r="P86" s="21"/>
      <c r="Q86" s="21"/>
      <c r="R86" s="21"/>
      <c r="S86" s="21"/>
      <c r="T86" s="95"/>
    </row>
    <row r="87" ht="15.75" customHeight="1">
      <c r="A87" s="95"/>
      <c r="B87" s="95"/>
      <c r="C87" s="95"/>
      <c r="D87" s="95"/>
      <c r="E87" s="95"/>
      <c r="F87" s="95"/>
      <c r="G87" s="95"/>
      <c r="H87" s="95"/>
      <c r="I87" s="95"/>
      <c r="J87" s="95"/>
      <c r="K87" s="95"/>
      <c r="L87" s="95"/>
      <c r="M87" s="95"/>
      <c r="N87" s="95"/>
      <c r="O87" s="21"/>
      <c r="P87" s="21"/>
      <c r="Q87" s="21"/>
      <c r="R87" s="21"/>
      <c r="S87" s="21"/>
      <c r="T87" s="95"/>
    </row>
    <row r="88" ht="15.75" customHeight="1">
      <c r="A88" s="95"/>
      <c r="B88" s="95"/>
      <c r="C88" s="95"/>
      <c r="D88" s="95"/>
      <c r="E88" s="95"/>
      <c r="F88" s="95"/>
      <c r="G88" s="95"/>
      <c r="H88" s="95"/>
      <c r="I88" s="95"/>
      <c r="J88" s="95"/>
      <c r="K88" s="95"/>
      <c r="L88" s="95"/>
      <c r="M88" s="95"/>
      <c r="N88" s="95"/>
      <c r="O88" s="21"/>
      <c r="P88" s="21"/>
      <c r="Q88" s="21"/>
      <c r="R88" s="21"/>
      <c r="S88" s="21"/>
      <c r="T88" s="95"/>
    </row>
    <row r="89" ht="15.75" customHeight="1">
      <c r="A89" s="95"/>
      <c r="B89" s="95"/>
      <c r="C89" s="95"/>
      <c r="D89" s="95"/>
      <c r="E89" s="95"/>
      <c r="F89" s="95"/>
      <c r="G89" s="95"/>
      <c r="H89" s="95"/>
      <c r="I89" s="95"/>
      <c r="J89" s="95"/>
      <c r="K89" s="95"/>
      <c r="L89" s="95"/>
      <c r="M89" s="95"/>
      <c r="N89" s="95"/>
      <c r="O89" s="21"/>
      <c r="P89" s="21"/>
      <c r="Q89" s="21"/>
      <c r="R89" s="21"/>
      <c r="S89" s="21"/>
      <c r="T89" s="95"/>
    </row>
    <row r="90" ht="15.75" customHeight="1">
      <c r="A90" s="95"/>
      <c r="B90" s="95"/>
      <c r="C90" s="95"/>
      <c r="D90" s="95"/>
      <c r="E90" s="95"/>
      <c r="F90" s="95"/>
      <c r="G90" s="95"/>
      <c r="H90" s="95"/>
      <c r="I90" s="95"/>
      <c r="J90" s="95"/>
      <c r="K90" s="95"/>
      <c r="L90" s="95"/>
      <c r="M90" s="95"/>
      <c r="N90" s="95"/>
      <c r="O90" s="21"/>
      <c r="P90" s="21"/>
      <c r="Q90" s="21"/>
      <c r="R90" s="21"/>
      <c r="S90" s="21"/>
      <c r="T90" s="95"/>
    </row>
    <row r="91" ht="15.75" customHeight="1">
      <c r="A91" s="95"/>
      <c r="B91" s="95"/>
      <c r="C91" s="95"/>
      <c r="D91" s="95"/>
      <c r="E91" s="95"/>
      <c r="F91" s="95"/>
      <c r="G91" s="95"/>
      <c r="H91" s="95"/>
      <c r="I91" s="95"/>
      <c r="J91" s="95"/>
      <c r="K91" s="95"/>
      <c r="L91" s="95"/>
      <c r="M91" s="95"/>
      <c r="N91" s="95"/>
      <c r="O91" s="21"/>
      <c r="P91" s="21"/>
      <c r="Q91" s="21"/>
      <c r="R91" s="21"/>
      <c r="S91" s="21"/>
      <c r="T91" s="95"/>
    </row>
    <row r="92" ht="15.75" customHeight="1">
      <c r="A92" s="95"/>
      <c r="B92" s="95"/>
      <c r="C92" s="95"/>
      <c r="D92" s="95"/>
      <c r="E92" s="95"/>
      <c r="F92" s="95"/>
      <c r="G92" s="95"/>
      <c r="H92" s="95"/>
      <c r="I92" s="95"/>
      <c r="J92" s="95"/>
      <c r="K92" s="95"/>
      <c r="L92" s="95"/>
      <c r="M92" s="95"/>
      <c r="N92" s="95"/>
      <c r="O92" s="21"/>
      <c r="P92" s="21"/>
      <c r="Q92" s="21"/>
      <c r="R92" s="21"/>
      <c r="S92" s="21"/>
      <c r="T92" s="95"/>
    </row>
    <row r="93" ht="15.75" customHeight="1">
      <c r="A93" s="95"/>
      <c r="B93" s="95"/>
      <c r="C93" s="95"/>
      <c r="D93" s="95"/>
      <c r="E93" s="95"/>
      <c r="F93" s="95"/>
      <c r="G93" s="95"/>
      <c r="H93" s="95"/>
      <c r="I93" s="95"/>
      <c r="J93" s="95"/>
      <c r="K93" s="95"/>
      <c r="L93" s="95"/>
      <c r="M93" s="95"/>
      <c r="N93" s="95"/>
      <c r="O93" s="21"/>
      <c r="P93" s="21"/>
      <c r="Q93" s="21"/>
      <c r="R93" s="21"/>
      <c r="S93" s="21"/>
      <c r="T93" s="95"/>
    </row>
    <row r="94" ht="15.75" customHeight="1">
      <c r="A94" s="95"/>
      <c r="B94" s="95"/>
      <c r="C94" s="95"/>
      <c r="D94" s="95"/>
      <c r="E94" s="95"/>
      <c r="F94" s="95"/>
      <c r="G94" s="95"/>
      <c r="H94" s="95"/>
      <c r="I94" s="95"/>
      <c r="J94" s="95"/>
      <c r="K94" s="95"/>
      <c r="L94" s="95"/>
      <c r="M94" s="95"/>
      <c r="N94" s="95"/>
      <c r="O94" s="21"/>
      <c r="P94" s="21"/>
      <c r="Q94" s="21"/>
      <c r="R94" s="21"/>
      <c r="S94" s="21"/>
      <c r="T94" s="95"/>
    </row>
    <row r="95" ht="15.75" customHeight="1">
      <c r="A95" s="95"/>
      <c r="B95" s="95"/>
      <c r="C95" s="95"/>
      <c r="D95" s="95"/>
      <c r="E95" s="95"/>
      <c r="F95" s="95"/>
      <c r="G95" s="95"/>
      <c r="H95" s="95"/>
      <c r="I95" s="95"/>
      <c r="J95" s="95"/>
      <c r="K95" s="95"/>
      <c r="L95" s="95"/>
      <c r="M95" s="95"/>
      <c r="N95" s="95"/>
      <c r="O95" s="21"/>
      <c r="P95" s="21"/>
      <c r="Q95" s="21"/>
      <c r="R95" s="21"/>
      <c r="S95" s="21"/>
      <c r="T95" s="95"/>
    </row>
    <row r="96" ht="15.75" customHeight="1">
      <c r="A96" s="95"/>
      <c r="B96" s="95"/>
      <c r="C96" s="95"/>
      <c r="D96" s="95"/>
      <c r="E96" s="95"/>
      <c r="F96" s="95"/>
      <c r="G96" s="95"/>
      <c r="H96" s="95"/>
      <c r="I96" s="95"/>
      <c r="J96" s="95"/>
      <c r="K96" s="95"/>
      <c r="L96" s="95"/>
      <c r="M96" s="95"/>
      <c r="N96" s="95"/>
      <c r="O96" s="21"/>
      <c r="P96" s="21"/>
      <c r="Q96" s="21"/>
      <c r="R96" s="21"/>
      <c r="S96" s="21"/>
      <c r="T96" s="95"/>
    </row>
    <row r="97" ht="15.75" customHeight="1">
      <c r="A97" s="95"/>
      <c r="B97" s="95"/>
      <c r="C97" s="95"/>
      <c r="D97" s="95"/>
      <c r="E97" s="95"/>
      <c r="F97" s="95"/>
      <c r="G97" s="95"/>
      <c r="H97" s="95"/>
      <c r="I97" s="95"/>
      <c r="J97" s="95"/>
      <c r="K97" s="95"/>
      <c r="L97" s="95"/>
      <c r="M97" s="95"/>
      <c r="N97" s="95"/>
      <c r="O97" s="21"/>
      <c r="P97" s="21"/>
      <c r="Q97" s="21"/>
      <c r="R97" s="21"/>
      <c r="S97" s="21"/>
      <c r="T97" s="95"/>
    </row>
    <row r="98" ht="15.75" customHeight="1">
      <c r="A98" s="95"/>
      <c r="B98" s="95"/>
      <c r="C98" s="95"/>
      <c r="D98" s="95"/>
      <c r="E98" s="95"/>
      <c r="F98" s="95"/>
      <c r="G98" s="95"/>
      <c r="H98" s="95"/>
      <c r="I98" s="95"/>
      <c r="J98" s="95"/>
      <c r="K98" s="95"/>
      <c r="L98" s="95"/>
      <c r="M98" s="95"/>
      <c r="N98" s="95"/>
      <c r="O98" s="21"/>
      <c r="P98" s="21"/>
      <c r="Q98" s="21"/>
      <c r="R98" s="21"/>
      <c r="S98" s="21"/>
      <c r="T98" s="95"/>
    </row>
    <row r="99" ht="15.75" customHeight="1">
      <c r="A99" s="95"/>
      <c r="B99" s="95"/>
      <c r="C99" s="95"/>
      <c r="D99" s="95"/>
      <c r="E99" s="95"/>
      <c r="F99" s="95"/>
      <c r="G99" s="95"/>
      <c r="H99" s="95"/>
      <c r="I99" s="95"/>
      <c r="J99" s="95"/>
      <c r="K99" s="95"/>
      <c r="L99" s="95"/>
      <c r="M99" s="95"/>
      <c r="N99" s="95"/>
      <c r="O99" s="21"/>
      <c r="P99" s="21"/>
      <c r="Q99" s="21"/>
      <c r="R99" s="21"/>
      <c r="S99" s="21"/>
      <c r="T99" s="95"/>
    </row>
    <row r="100" ht="15.75" customHeight="1">
      <c r="A100" s="95"/>
      <c r="B100" s="95"/>
      <c r="C100" s="95"/>
      <c r="D100" s="95"/>
      <c r="E100" s="95"/>
      <c r="F100" s="95"/>
      <c r="G100" s="95"/>
      <c r="H100" s="95"/>
      <c r="I100" s="95"/>
      <c r="J100" s="95"/>
      <c r="K100" s="95"/>
      <c r="L100" s="95"/>
      <c r="M100" s="95"/>
      <c r="N100" s="95"/>
      <c r="O100" s="21"/>
      <c r="P100" s="21"/>
      <c r="Q100" s="21"/>
      <c r="R100" s="21"/>
      <c r="S100" s="21"/>
      <c r="T100" s="95"/>
    </row>
    <row r="101" ht="15.75" customHeight="1">
      <c r="A101" s="95"/>
      <c r="B101" s="95"/>
      <c r="C101" s="95"/>
      <c r="D101" s="95"/>
      <c r="E101" s="95"/>
      <c r="F101" s="95"/>
      <c r="G101" s="95"/>
      <c r="H101" s="95"/>
      <c r="I101" s="95"/>
      <c r="J101" s="95"/>
      <c r="K101" s="95"/>
      <c r="L101" s="95"/>
      <c r="M101" s="95"/>
      <c r="N101" s="95"/>
      <c r="O101" s="21"/>
      <c r="P101" s="21"/>
      <c r="Q101" s="21"/>
      <c r="R101" s="21"/>
      <c r="S101" s="21"/>
      <c r="T101" s="95"/>
    </row>
    <row r="102" ht="15.75" customHeight="1">
      <c r="A102" s="95"/>
      <c r="B102" s="95"/>
      <c r="C102" s="95"/>
      <c r="D102" s="95"/>
      <c r="E102" s="95"/>
      <c r="F102" s="95"/>
      <c r="G102" s="95"/>
      <c r="H102" s="95"/>
      <c r="I102" s="95"/>
      <c r="J102" s="95"/>
      <c r="K102" s="95"/>
      <c r="L102" s="95"/>
      <c r="M102" s="95"/>
      <c r="N102" s="95"/>
      <c r="O102" s="21"/>
      <c r="P102" s="21"/>
      <c r="Q102" s="21"/>
      <c r="R102" s="21"/>
      <c r="S102" s="21"/>
      <c r="T102" s="95"/>
    </row>
    <row r="103" ht="15.75" customHeight="1">
      <c r="A103" s="95"/>
      <c r="B103" s="95"/>
      <c r="C103" s="95"/>
      <c r="D103" s="95"/>
      <c r="E103" s="95"/>
      <c r="F103" s="95"/>
      <c r="G103" s="95"/>
      <c r="H103" s="95"/>
      <c r="I103" s="95"/>
      <c r="J103" s="95"/>
      <c r="K103" s="95"/>
      <c r="L103" s="95"/>
      <c r="M103" s="95"/>
      <c r="N103" s="95"/>
      <c r="O103" s="21"/>
      <c r="P103" s="21"/>
      <c r="Q103" s="21"/>
      <c r="R103" s="21"/>
      <c r="S103" s="21"/>
      <c r="T103" s="95"/>
    </row>
    <row r="104" ht="15.75" customHeight="1">
      <c r="A104" s="95"/>
      <c r="B104" s="95"/>
      <c r="C104" s="95"/>
      <c r="D104" s="95"/>
      <c r="E104" s="95"/>
      <c r="F104" s="95"/>
      <c r="G104" s="95"/>
      <c r="H104" s="95"/>
      <c r="I104" s="95"/>
      <c r="J104" s="95"/>
      <c r="K104" s="95"/>
      <c r="L104" s="95"/>
      <c r="M104" s="95"/>
      <c r="N104" s="95"/>
      <c r="O104" s="21"/>
      <c r="P104" s="21"/>
      <c r="Q104" s="21"/>
      <c r="R104" s="21"/>
      <c r="S104" s="21"/>
      <c r="T104" s="95"/>
    </row>
    <row r="105" ht="15.75" customHeight="1">
      <c r="A105" s="95"/>
      <c r="B105" s="95"/>
      <c r="C105" s="95"/>
      <c r="D105" s="95"/>
      <c r="E105" s="95"/>
      <c r="F105" s="95"/>
      <c r="G105" s="95"/>
      <c r="H105" s="95"/>
      <c r="I105" s="95"/>
      <c r="J105" s="95"/>
      <c r="K105" s="95"/>
      <c r="L105" s="95"/>
      <c r="M105" s="95"/>
      <c r="N105" s="95"/>
      <c r="O105" s="21"/>
      <c r="P105" s="21"/>
      <c r="Q105" s="21"/>
      <c r="R105" s="21"/>
      <c r="S105" s="21"/>
      <c r="T105" s="95"/>
    </row>
    <row r="106" ht="15.75" customHeight="1">
      <c r="A106" s="95"/>
      <c r="B106" s="95"/>
      <c r="C106" s="95"/>
      <c r="D106" s="95"/>
      <c r="E106" s="95"/>
      <c r="F106" s="95"/>
      <c r="G106" s="95"/>
      <c r="H106" s="95"/>
      <c r="I106" s="95"/>
      <c r="J106" s="95"/>
      <c r="K106" s="95"/>
      <c r="L106" s="95"/>
      <c r="M106" s="95"/>
      <c r="N106" s="95"/>
      <c r="O106" s="21"/>
      <c r="P106" s="21"/>
      <c r="Q106" s="21"/>
      <c r="R106" s="21"/>
      <c r="S106" s="21"/>
      <c r="T106" s="95"/>
    </row>
    <row r="107" ht="15.75" customHeight="1">
      <c r="A107" s="95"/>
      <c r="B107" s="95"/>
      <c r="C107" s="95"/>
      <c r="D107" s="95"/>
      <c r="E107" s="95"/>
      <c r="F107" s="95"/>
      <c r="G107" s="95"/>
      <c r="H107" s="95"/>
      <c r="I107" s="95"/>
      <c r="J107" s="95"/>
      <c r="K107" s="95"/>
      <c r="L107" s="95"/>
      <c r="M107" s="95"/>
      <c r="N107" s="95"/>
      <c r="O107" s="21"/>
      <c r="P107" s="21"/>
      <c r="Q107" s="21"/>
      <c r="R107" s="21"/>
      <c r="S107" s="21"/>
      <c r="T107" s="95"/>
    </row>
    <row r="108" ht="15.75" customHeight="1">
      <c r="A108" s="95"/>
      <c r="B108" s="95"/>
      <c r="C108" s="95"/>
      <c r="D108" s="95"/>
      <c r="E108" s="95"/>
      <c r="F108" s="95"/>
      <c r="G108" s="95"/>
      <c r="H108" s="95"/>
      <c r="I108" s="95"/>
      <c r="J108" s="95"/>
      <c r="K108" s="95"/>
      <c r="L108" s="95"/>
      <c r="M108" s="95"/>
      <c r="N108" s="95"/>
      <c r="O108" s="21"/>
      <c r="P108" s="21"/>
      <c r="Q108" s="21"/>
      <c r="R108" s="21"/>
      <c r="S108" s="21"/>
      <c r="T108" s="95"/>
    </row>
    <row r="109" ht="15.75" customHeight="1">
      <c r="A109" s="95"/>
      <c r="B109" s="95"/>
      <c r="C109" s="95"/>
      <c r="D109" s="95"/>
      <c r="E109" s="95"/>
      <c r="F109" s="95"/>
      <c r="G109" s="95"/>
      <c r="H109" s="95"/>
      <c r="I109" s="95"/>
      <c r="J109" s="95"/>
      <c r="K109" s="95"/>
      <c r="L109" s="95"/>
      <c r="M109" s="95"/>
      <c r="N109" s="95"/>
      <c r="O109" s="21"/>
      <c r="P109" s="21"/>
      <c r="Q109" s="21"/>
      <c r="R109" s="21"/>
      <c r="S109" s="21"/>
      <c r="T109" s="95"/>
    </row>
    <row r="110" ht="15.75" customHeight="1">
      <c r="A110" s="95"/>
      <c r="B110" s="95"/>
      <c r="C110" s="95"/>
      <c r="D110" s="95"/>
      <c r="E110" s="95"/>
      <c r="F110" s="95"/>
      <c r="G110" s="95"/>
      <c r="H110" s="95"/>
      <c r="I110" s="95"/>
      <c r="J110" s="95"/>
      <c r="K110" s="95"/>
      <c r="L110" s="95"/>
      <c r="M110" s="95"/>
      <c r="N110" s="95"/>
      <c r="O110" s="21"/>
      <c r="P110" s="21"/>
      <c r="Q110" s="21"/>
      <c r="R110" s="21"/>
      <c r="S110" s="21"/>
      <c r="T110" s="95"/>
    </row>
    <row r="111" ht="15.75" customHeight="1">
      <c r="A111" s="95"/>
      <c r="B111" s="95"/>
      <c r="C111" s="95"/>
      <c r="D111" s="95"/>
      <c r="E111" s="95"/>
      <c r="F111" s="95"/>
      <c r="G111" s="95"/>
      <c r="H111" s="95"/>
      <c r="I111" s="95"/>
      <c r="J111" s="95"/>
      <c r="K111" s="95"/>
      <c r="L111" s="95"/>
      <c r="M111" s="95"/>
      <c r="N111" s="95"/>
      <c r="O111" s="21"/>
      <c r="P111" s="21"/>
      <c r="Q111" s="21"/>
      <c r="R111" s="21"/>
      <c r="S111" s="21"/>
      <c r="T111" s="95"/>
    </row>
    <row r="112" ht="15.75" customHeight="1">
      <c r="A112" s="95"/>
      <c r="B112" s="95"/>
      <c r="C112" s="95"/>
      <c r="D112" s="95"/>
      <c r="E112" s="95"/>
      <c r="F112" s="95"/>
      <c r="G112" s="95"/>
      <c r="H112" s="95"/>
      <c r="I112" s="95"/>
      <c r="J112" s="95"/>
      <c r="K112" s="95"/>
      <c r="L112" s="95"/>
      <c r="M112" s="95"/>
      <c r="N112" s="95"/>
      <c r="O112" s="21"/>
      <c r="P112" s="21"/>
      <c r="Q112" s="21"/>
      <c r="R112" s="21"/>
      <c r="S112" s="21"/>
      <c r="T112" s="95"/>
    </row>
    <row r="113" ht="15.75" customHeight="1">
      <c r="A113" s="95"/>
      <c r="B113" s="95"/>
      <c r="C113" s="95"/>
      <c r="D113" s="95"/>
      <c r="E113" s="95"/>
      <c r="F113" s="95"/>
      <c r="G113" s="95"/>
      <c r="H113" s="95"/>
      <c r="I113" s="95"/>
      <c r="J113" s="95"/>
      <c r="K113" s="95"/>
      <c r="L113" s="95"/>
      <c r="M113" s="95"/>
      <c r="N113" s="95"/>
      <c r="O113" s="21"/>
      <c r="P113" s="21"/>
      <c r="Q113" s="21"/>
      <c r="R113" s="21"/>
      <c r="S113" s="21"/>
      <c r="T113" s="95"/>
    </row>
    <row r="114" ht="15.75" customHeight="1">
      <c r="A114" s="95"/>
      <c r="B114" s="95"/>
      <c r="C114" s="95"/>
      <c r="D114" s="95"/>
      <c r="E114" s="95"/>
      <c r="F114" s="95"/>
      <c r="G114" s="95"/>
      <c r="H114" s="95"/>
      <c r="I114" s="95"/>
      <c r="J114" s="95"/>
      <c r="K114" s="95"/>
      <c r="L114" s="95"/>
      <c r="M114" s="95"/>
      <c r="N114" s="95"/>
      <c r="O114" s="21"/>
      <c r="P114" s="21"/>
      <c r="Q114" s="21"/>
      <c r="R114" s="21"/>
      <c r="S114" s="21"/>
      <c r="T114" s="95"/>
    </row>
    <row r="115" ht="15.75" customHeight="1">
      <c r="A115" s="95"/>
      <c r="B115" s="95"/>
      <c r="C115" s="95"/>
      <c r="D115" s="95"/>
      <c r="E115" s="95"/>
      <c r="F115" s="95"/>
      <c r="G115" s="95"/>
      <c r="H115" s="95"/>
      <c r="I115" s="95"/>
      <c r="J115" s="95"/>
      <c r="K115" s="95"/>
      <c r="L115" s="95"/>
      <c r="M115" s="95"/>
      <c r="N115" s="95"/>
      <c r="O115" s="21"/>
      <c r="P115" s="21"/>
      <c r="Q115" s="21"/>
      <c r="R115" s="21"/>
      <c r="S115" s="21"/>
      <c r="T115" s="95"/>
    </row>
    <row r="116" ht="15.75" customHeight="1">
      <c r="A116" s="95"/>
      <c r="B116" s="95"/>
      <c r="C116" s="95"/>
      <c r="D116" s="95"/>
      <c r="E116" s="95"/>
      <c r="F116" s="95"/>
      <c r="G116" s="95"/>
      <c r="H116" s="95"/>
      <c r="I116" s="95"/>
      <c r="J116" s="95"/>
      <c r="K116" s="95"/>
      <c r="L116" s="95"/>
      <c r="M116" s="95"/>
      <c r="N116" s="95"/>
      <c r="O116" s="21"/>
      <c r="P116" s="21"/>
      <c r="Q116" s="21"/>
      <c r="R116" s="21"/>
      <c r="S116" s="21"/>
      <c r="T116" s="95"/>
    </row>
    <row r="117" ht="15.75" customHeight="1">
      <c r="A117" s="95"/>
      <c r="B117" s="95"/>
      <c r="C117" s="95"/>
      <c r="D117" s="95"/>
      <c r="E117" s="95"/>
      <c r="F117" s="95"/>
      <c r="G117" s="95"/>
      <c r="H117" s="95"/>
      <c r="I117" s="95"/>
      <c r="J117" s="95"/>
      <c r="K117" s="95"/>
      <c r="L117" s="95"/>
      <c r="M117" s="95"/>
      <c r="N117" s="95"/>
      <c r="O117" s="21"/>
      <c r="P117" s="21"/>
      <c r="Q117" s="21"/>
      <c r="R117" s="21"/>
      <c r="S117" s="21"/>
      <c r="T117" s="95"/>
    </row>
    <row r="118" ht="15.75" customHeight="1">
      <c r="A118" s="95"/>
      <c r="B118" s="95"/>
      <c r="C118" s="95"/>
      <c r="D118" s="95"/>
      <c r="E118" s="95"/>
      <c r="F118" s="95"/>
      <c r="G118" s="95"/>
      <c r="H118" s="95"/>
      <c r="I118" s="95"/>
      <c r="J118" s="95"/>
      <c r="K118" s="95"/>
      <c r="L118" s="95"/>
      <c r="M118" s="95"/>
      <c r="N118" s="95"/>
      <c r="O118" s="21"/>
      <c r="P118" s="21"/>
      <c r="Q118" s="21"/>
      <c r="R118" s="21"/>
      <c r="S118" s="21"/>
      <c r="T118" s="95"/>
    </row>
    <row r="119" ht="15.75" customHeight="1">
      <c r="A119" s="95"/>
      <c r="B119" s="95"/>
      <c r="C119" s="95"/>
      <c r="D119" s="95"/>
      <c r="E119" s="95"/>
      <c r="F119" s="95"/>
      <c r="G119" s="95"/>
      <c r="H119" s="95"/>
      <c r="I119" s="95"/>
      <c r="J119" s="95"/>
      <c r="K119" s="95"/>
      <c r="L119" s="95"/>
      <c r="M119" s="95"/>
      <c r="N119" s="95"/>
      <c r="O119" s="21"/>
      <c r="P119" s="21"/>
      <c r="Q119" s="21"/>
      <c r="R119" s="21"/>
      <c r="S119" s="21"/>
      <c r="T119" s="95"/>
    </row>
    <row r="120" ht="15.75" customHeight="1">
      <c r="A120" s="95"/>
      <c r="B120" s="95"/>
      <c r="C120" s="95"/>
      <c r="D120" s="95"/>
      <c r="E120" s="95"/>
      <c r="F120" s="95"/>
      <c r="G120" s="95"/>
      <c r="H120" s="95"/>
      <c r="I120" s="95"/>
      <c r="J120" s="95"/>
      <c r="K120" s="95"/>
      <c r="L120" s="95"/>
      <c r="M120" s="95"/>
      <c r="N120" s="95"/>
      <c r="O120" s="21"/>
      <c r="P120" s="21"/>
      <c r="Q120" s="21"/>
      <c r="R120" s="21"/>
      <c r="S120" s="21"/>
      <c r="T120" s="95"/>
    </row>
    <row r="121" ht="15.75" customHeight="1">
      <c r="A121" s="95"/>
      <c r="B121" s="95"/>
      <c r="C121" s="95"/>
      <c r="D121" s="95"/>
      <c r="E121" s="95"/>
      <c r="F121" s="95"/>
      <c r="G121" s="95"/>
      <c r="H121" s="95"/>
      <c r="I121" s="95"/>
      <c r="J121" s="95"/>
      <c r="K121" s="95"/>
      <c r="L121" s="95"/>
      <c r="M121" s="95"/>
      <c r="N121" s="95"/>
      <c r="O121" s="21"/>
      <c r="P121" s="21"/>
      <c r="Q121" s="21"/>
      <c r="R121" s="21"/>
      <c r="S121" s="21"/>
      <c r="T121" s="95"/>
    </row>
    <row r="122" ht="15.75" customHeight="1">
      <c r="A122" s="95"/>
      <c r="B122" s="95"/>
      <c r="C122" s="95"/>
      <c r="D122" s="95"/>
      <c r="E122" s="95"/>
      <c r="F122" s="95"/>
      <c r="G122" s="95"/>
      <c r="H122" s="95"/>
      <c r="I122" s="95"/>
      <c r="J122" s="95"/>
      <c r="K122" s="95"/>
      <c r="L122" s="95"/>
      <c r="M122" s="95"/>
      <c r="N122" s="95"/>
      <c r="O122" s="21"/>
      <c r="P122" s="21"/>
      <c r="Q122" s="21"/>
      <c r="R122" s="21"/>
      <c r="S122" s="21"/>
      <c r="T122" s="95"/>
    </row>
    <row r="123" ht="15.75" customHeight="1">
      <c r="A123" s="95"/>
      <c r="B123" s="95"/>
      <c r="C123" s="95"/>
      <c r="D123" s="95"/>
      <c r="E123" s="95"/>
      <c r="F123" s="95"/>
      <c r="G123" s="95"/>
      <c r="H123" s="95"/>
      <c r="I123" s="95"/>
      <c r="J123" s="95"/>
      <c r="K123" s="95"/>
      <c r="L123" s="95"/>
      <c r="M123" s="95"/>
      <c r="N123" s="95"/>
      <c r="O123" s="21"/>
      <c r="P123" s="21"/>
      <c r="Q123" s="21"/>
      <c r="R123" s="21"/>
      <c r="S123" s="21"/>
      <c r="T123" s="95"/>
    </row>
    <row r="124" ht="15.75" customHeight="1">
      <c r="A124" s="95"/>
      <c r="B124" s="95"/>
      <c r="C124" s="95"/>
      <c r="D124" s="95"/>
      <c r="E124" s="95"/>
      <c r="F124" s="95"/>
      <c r="G124" s="95"/>
      <c r="H124" s="95"/>
      <c r="I124" s="95"/>
      <c r="J124" s="95"/>
      <c r="K124" s="95"/>
      <c r="L124" s="95"/>
      <c r="M124" s="95"/>
      <c r="N124" s="95"/>
      <c r="O124" s="21"/>
      <c r="P124" s="21"/>
      <c r="Q124" s="21"/>
      <c r="R124" s="21"/>
      <c r="S124" s="21"/>
      <c r="T124" s="95"/>
    </row>
    <row r="125" ht="15.75" customHeight="1">
      <c r="A125" s="95"/>
      <c r="B125" s="95"/>
      <c r="C125" s="95"/>
      <c r="D125" s="95"/>
      <c r="E125" s="95"/>
      <c r="F125" s="95"/>
      <c r="G125" s="95"/>
      <c r="H125" s="95"/>
      <c r="I125" s="95"/>
      <c r="J125" s="95"/>
      <c r="K125" s="95"/>
      <c r="L125" s="95"/>
      <c r="M125" s="95"/>
      <c r="N125" s="95"/>
      <c r="O125" s="21"/>
      <c r="P125" s="21"/>
      <c r="Q125" s="21"/>
      <c r="R125" s="21"/>
      <c r="S125" s="21"/>
      <c r="T125" s="95"/>
    </row>
    <row r="126" ht="15.75" customHeight="1">
      <c r="A126" s="95"/>
      <c r="B126" s="95"/>
      <c r="C126" s="95"/>
      <c r="D126" s="95"/>
      <c r="E126" s="95"/>
      <c r="F126" s="95"/>
      <c r="G126" s="95"/>
      <c r="H126" s="95"/>
      <c r="I126" s="95"/>
      <c r="J126" s="95"/>
      <c r="K126" s="95"/>
      <c r="L126" s="95"/>
      <c r="M126" s="95"/>
      <c r="N126" s="95"/>
      <c r="O126" s="21"/>
      <c r="P126" s="21"/>
      <c r="Q126" s="21"/>
      <c r="R126" s="21"/>
      <c r="S126" s="21"/>
      <c r="T126" s="95"/>
    </row>
    <row r="127" ht="15.75" customHeight="1">
      <c r="A127" s="95"/>
      <c r="B127" s="95"/>
      <c r="C127" s="95"/>
      <c r="D127" s="95"/>
      <c r="E127" s="95"/>
      <c r="F127" s="95"/>
      <c r="G127" s="95"/>
      <c r="H127" s="95"/>
      <c r="I127" s="95"/>
      <c r="J127" s="95"/>
      <c r="K127" s="95"/>
      <c r="L127" s="95"/>
      <c r="M127" s="95"/>
      <c r="N127" s="95"/>
      <c r="O127" s="21"/>
      <c r="P127" s="21"/>
      <c r="Q127" s="21"/>
      <c r="R127" s="21"/>
      <c r="S127" s="21"/>
      <c r="T127" s="95"/>
    </row>
    <row r="128" ht="15.75" customHeight="1">
      <c r="A128" s="95"/>
      <c r="B128" s="95"/>
      <c r="C128" s="95"/>
      <c r="D128" s="95"/>
      <c r="E128" s="95"/>
      <c r="F128" s="95"/>
      <c r="G128" s="95"/>
      <c r="H128" s="95"/>
      <c r="I128" s="95"/>
      <c r="J128" s="95"/>
      <c r="K128" s="95"/>
      <c r="L128" s="95"/>
      <c r="M128" s="95"/>
      <c r="N128" s="95"/>
      <c r="O128" s="21"/>
      <c r="P128" s="21"/>
      <c r="Q128" s="21"/>
      <c r="R128" s="21"/>
      <c r="S128" s="21"/>
      <c r="T128" s="95"/>
    </row>
    <row r="129" ht="15.75" customHeight="1">
      <c r="A129" s="95"/>
      <c r="B129" s="95"/>
      <c r="C129" s="95"/>
      <c r="D129" s="95"/>
      <c r="E129" s="95"/>
      <c r="F129" s="95"/>
      <c r="G129" s="95"/>
      <c r="H129" s="95"/>
      <c r="I129" s="95"/>
      <c r="J129" s="95"/>
      <c r="K129" s="95"/>
      <c r="L129" s="95"/>
      <c r="M129" s="95"/>
      <c r="N129" s="95"/>
      <c r="O129" s="21"/>
      <c r="P129" s="21"/>
      <c r="Q129" s="21"/>
      <c r="R129" s="21"/>
      <c r="S129" s="21"/>
      <c r="T129" s="95"/>
    </row>
    <row r="130" ht="15.75" customHeight="1">
      <c r="A130" s="95"/>
      <c r="B130" s="95"/>
      <c r="C130" s="95"/>
      <c r="D130" s="95"/>
      <c r="E130" s="95"/>
      <c r="F130" s="95"/>
      <c r="G130" s="95"/>
      <c r="H130" s="95"/>
      <c r="I130" s="95"/>
      <c r="J130" s="95"/>
      <c r="K130" s="95"/>
      <c r="L130" s="95"/>
      <c r="M130" s="95"/>
      <c r="N130" s="95"/>
      <c r="O130" s="21"/>
      <c r="P130" s="21"/>
      <c r="Q130" s="21"/>
      <c r="R130" s="21"/>
      <c r="S130" s="21"/>
      <c r="T130" s="95"/>
    </row>
    <row r="131" ht="15.75" customHeight="1">
      <c r="A131" s="95"/>
      <c r="B131" s="95"/>
      <c r="C131" s="95"/>
      <c r="D131" s="95"/>
      <c r="E131" s="95"/>
      <c r="F131" s="95"/>
      <c r="G131" s="95"/>
      <c r="H131" s="95"/>
      <c r="I131" s="95"/>
      <c r="J131" s="95"/>
      <c r="K131" s="95"/>
      <c r="L131" s="95"/>
      <c r="M131" s="95"/>
      <c r="N131" s="95"/>
      <c r="O131" s="21"/>
      <c r="P131" s="21"/>
      <c r="Q131" s="21"/>
      <c r="R131" s="21"/>
      <c r="S131" s="21"/>
      <c r="T131" s="95"/>
    </row>
    <row r="132" ht="15.75" customHeight="1">
      <c r="A132" s="95"/>
      <c r="B132" s="95"/>
      <c r="C132" s="95"/>
      <c r="D132" s="95"/>
      <c r="E132" s="95"/>
      <c r="F132" s="95"/>
      <c r="G132" s="95"/>
      <c r="H132" s="95"/>
      <c r="I132" s="95"/>
      <c r="J132" s="95"/>
      <c r="K132" s="95"/>
      <c r="L132" s="95"/>
      <c r="M132" s="95"/>
      <c r="N132" s="95"/>
      <c r="O132" s="21"/>
      <c r="P132" s="21"/>
      <c r="Q132" s="21"/>
      <c r="R132" s="21"/>
      <c r="S132" s="21"/>
      <c r="T132" s="95"/>
    </row>
    <row r="133" ht="15.75" customHeight="1">
      <c r="A133" s="95"/>
      <c r="B133" s="95"/>
      <c r="C133" s="95"/>
      <c r="D133" s="95"/>
      <c r="E133" s="95"/>
      <c r="F133" s="95"/>
      <c r="G133" s="95"/>
      <c r="H133" s="95"/>
      <c r="I133" s="95"/>
      <c r="J133" s="95"/>
      <c r="K133" s="95"/>
      <c r="L133" s="95"/>
      <c r="M133" s="95"/>
      <c r="N133" s="95"/>
      <c r="O133" s="21"/>
      <c r="P133" s="21"/>
      <c r="Q133" s="21"/>
      <c r="R133" s="21"/>
      <c r="S133" s="21"/>
      <c r="T133" s="95"/>
    </row>
    <row r="134" ht="15.75" customHeight="1">
      <c r="A134" s="95"/>
      <c r="B134" s="95"/>
      <c r="C134" s="95"/>
      <c r="D134" s="95"/>
      <c r="E134" s="95"/>
      <c r="F134" s="95"/>
      <c r="G134" s="95"/>
      <c r="H134" s="95"/>
      <c r="I134" s="95"/>
      <c r="J134" s="95"/>
      <c r="K134" s="95"/>
      <c r="L134" s="95"/>
      <c r="M134" s="95"/>
      <c r="N134" s="95"/>
      <c r="O134" s="21"/>
      <c r="P134" s="21"/>
      <c r="Q134" s="21"/>
      <c r="R134" s="21"/>
      <c r="S134" s="21"/>
      <c r="T134" s="95"/>
    </row>
    <row r="135" ht="15.75" customHeight="1">
      <c r="A135" s="95"/>
      <c r="B135" s="95"/>
      <c r="C135" s="95"/>
      <c r="D135" s="95"/>
      <c r="E135" s="95"/>
      <c r="F135" s="95"/>
      <c r="G135" s="95"/>
      <c r="H135" s="95"/>
      <c r="I135" s="95"/>
      <c r="J135" s="95"/>
      <c r="K135" s="95"/>
      <c r="L135" s="95"/>
      <c r="M135" s="95"/>
      <c r="N135" s="95"/>
      <c r="O135" s="21"/>
      <c r="P135" s="21"/>
      <c r="Q135" s="21"/>
      <c r="R135" s="21"/>
      <c r="S135" s="21"/>
      <c r="T135" s="95"/>
    </row>
    <row r="136" ht="15.75" customHeight="1">
      <c r="A136" s="95"/>
      <c r="B136" s="95"/>
      <c r="C136" s="95"/>
      <c r="D136" s="95"/>
      <c r="E136" s="95"/>
      <c r="F136" s="95"/>
      <c r="G136" s="95"/>
      <c r="H136" s="95"/>
      <c r="I136" s="95"/>
      <c r="J136" s="95"/>
      <c r="K136" s="95"/>
      <c r="L136" s="95"/>
      <c r="M136" s="95"/>
      <c r="N136" s="95"/>
      <c r="O136" s="21"/>
      <c r="P136" s="21"/>
      <c r="Q136" s="21"/>
      <c r="R136" s="21"/>
      <c r="S136" s="21"/>
      <c r="T136" s="95"/>
    </row>
    <row r="137" ht="15.75" customHeight="1">
      <c r="A137" s="95"/>
      <c r="B137" s="95"/>
      <c r="C137" s="95"/>
      <c r="D137" s="95"/>
      <c r="E137" s="95"/>
      <c r="F137" s="95"/>
      <c r="G137" s="95"/>
      <c r="H137" s="95"/>
      <c r="I137" s="95"/>
      <c r="J137" s="95"/>
      <c r="K137" s="95"/>
      <c r="L137" s="95"/>
      <c r="M137" s="95"/>
      <c r="N137" s="95"/>
      <c r="O137" s="21"/>
      <c r="P137" s="21"/>
      <c r="Q137" s="21"/>
      <c r="R137" s="21"/>
      <c r="S137" s="21"/>
      <c r="T137" s="95"/>
    </row>
    <row r="138" ht="15.75" customHeight="1">
      <c r="A138" s="95"/>
      <c r="B138" s="95"/>
      <c r="C138" s="95"/>
      <c r="D138" s="95"/>
      <c r="E138" s="95"/>
      <c r="F138" s="95"/>
      <c r="G138" s="95"/>
      <c r="H138" s="95"/>
      <c r="I138" s="95"/>
      <c r="J138" s="95"/>
      <c r="K138" s="95"/>
      <c r="L138" s="95"/>
      <c r="M138" s="95"/>
      <c r="N138" s="95"/>
      <c r="O138" s="21"/>
      <c r="P138" s="21"/>
      <c r="Q138" s="21"/>
      <c r="R138" s="21"/>
      <c r="S138" s="21"/>
      <c r="T138" s="95"/>
    </row>
    <row r="139" ht="15.75" customHeight="1">
      <c r="A139" s="95"/>
      <c r="B139" s="95"/>
      <c r="C139" s="95"/>
      <c r="D139" s="95"/>
      <c r="E139" s="95"/>
      <c r="F139" s="95"/>
      <c r="G139" s="95"/>
      <c r="H139" s="95"/>
      <c r="I139" s="95"/>
      <c r="J139" s="95"/>
      <c r="K139" s="95"/>
      <c r="L139" s="95"/>
      <c r="M139" s="95"/>
      <c r="N139" s="95"/>
      <c r="O139" s="21"/>
      <c r="P139" s="21"/>
      <c r="Q139" s="21"/>
      <c r="R139" s="21"/>
      <c r="S139" s="21"/>
      <c r="T139" s="95"/>
    </row>
    <row r="140" ht="15.75" customHeight="1">
      <c r="A140" s="95"/>
      <c r="B140" s="95"/>
      <c r="C140" s="95"/>
      <c r="D140" s="95"/>
      <c r="E140" s="95"/>
      <c r="F140" s="95"/>
      <c r="G140" s="95"/>
      <c r="H140" s="95"/>
      <c r="I140" s="95"/>
      <c r="J140" s="95"/>
      <c r="K140" s="95"/>
      <c r="L140" s="95"/>
      <c r="M140" s="95"/>
      <c r="N140" s="95"/>
      <c r="O140" s="21"/>
      <c r="P140" s="21"/>
      <c r="Q140" s="21"/>
      <c r="R140" s="21"/>
      <c r="S140" s="21"/>
      <c r="T140" s="95"/>
    </row>
    <row r="141" ht="15.75" customHeight="1">
      <c r="A141" s="95"/>
      <c r="B141" s="95"/>
      <c r="C141" s="95"/>
      <c r="D141" s="95"/>
      <c r="E141" s="95"/>
      <c r="F141" s="95"/>
      <c r="G141" s="95"/>
      <c r="H141" s="95"/>
      <c r="I141" s="95"/>
      <c r="J141" s="95"/>
      <c r="K141" s="95"/>
      <c r="L141" s="95"/>
      <c r="M141" s="95"/>
      <c r="N141" s="95"/>
      <c r="O141" s="21"/>
      <c r="P141" s="21"/>
      <c r="Q141" s="21"/>
      <c r="R141" s="21"/>
      <c r="S141" s="21"/>
      <c r="T141" s="95"/>
    </row>
    <row r="142" ht="15.75" customHeight="1">
      <c r="A142" s="95"/>
      <c r="B142" s="95"/>
      <c r="C142" s="95"/>
      <c r="D142" s="95"/>
      <c r="E142" s="95"/>
      <c r="F142" s="95"/>
      <c r="G142" s="95"/>
      <c r="H142" s="95"/>
      <c r="I142" s="95"/>
      <c r="J142" s="95"/>
      <c r="K142" s="95"/>
      <c r="L142" s="95"/>
      <c r="M142" s="95"/>
      <c r="N142" s="95"/>
      <c r="O142" s="21"/>
      <c r="P142" s="21"/>
      <c r="Q142" s="21"/>
      <c r="R142" s="21"/>
      <c r="S142" s="21"/>
      <c r="T142" s="95"/>
    </row>
    <row r="143" ht="15.75" customHeight="1">
      <c r="A143" s="95"/>
      <c r="B143" s="95"/>
      <c r="C143" s="95"/>
      <c r="D143" s="95"/>
      <c r="E143" s="95"/>
      <c r="F143" s="95"/>
      <c r="G143" s="95"/>
      <c r="H143" s="95"/>
      <c r="I143" s="95"/>
      <c r="J143" s="95"/>
      <c r="K143" s="95"/>
      <c r="L143" s="95"/>
      <c r="M143" s="95"/>
      <c r="N143" s="95"/>
      <c r="O143" s="21"/>
      <c r="P143" s="21"/>
      <c r="Q143" s="21"/>
      <c r="R143" s="21"/>
      <c r="S143" s="21"/>
      <c r="T143" s="95"/>
    </row>
    <row r="144" ht="15.75" customHeight="1">
      <c r="A144" s="95"/>
      <c r="B144" s="95"/>
      <c r="C144" s="95"/>
      <c r="D144" s="95"/>
      <c r="E144" s="95"/>
      <c r="F144" s="95"/>
      <c r="G144" s="95"/>
      <c r="H144" s="95"/>
      <c r="I144" s="95"/>
      <c r="J144" s="95"/>
      <c r="K144" s="95"/>
      <c r="L144" s="95"/>
      <c r="M144" s="95"/>
      <c r="N144" s="95"/>
      <c r="O144" s="21"/>
      <c r="P144" s="21"/>
      <c r="Q144" s="21"/>
      <c r="R144" s="21"/>
      <c r="S144" s="21"/>
      <c r="T144" s="95"/>
    </row>
    <row r="145" ht="15.75" customHeight="1">
      <c r="A145" s="95"/>
      <c r="B145" s="95"/>
      <c r="C145" s="95"/>
      <c r="D145" s="95"/>
      <c r="E145" s="95"/>
      <c r="F145" s="95"/>
      <c r="G145" s="95"/>
      <c r="H145" s="95"/>
      <c r="I145" s="95"/>
      <c r="J145" s="95"/>
      <c r="K145" s="95"/>
      <c r="L145" s="95"/>
      <c r="M145" s="95"/>
      <c r="N145" s="95"/>
      <c r="O145" s="21"/>
      <c r="P145" s="21"/>
      <c r="Q145" s="21"/>
      <c r="R145" s="21"/>
      <c r="S145" s="21"/>
      <c r="T145" s="95"/>
    </row>
    <row r="146" ht="15.75" customHeight="1">
      <c r="A146" s="95"/>
      <c r="B146" s="95"/>
      <c r="C146" s="95"/>
      <c r="D146" s="95"/>
      <c r="E146" s="95"/>
      <c r="F146" s="95"/>
      <c r="G146" s="95"/>
      <c r="H146" s="95"/>
      <c r="I146" s="95"/>
      <c r="J146" s="95"/>
      <c r="K146" s="95"/>
      <c r="L146" s="95"/>
      <c r="M146" s="95"/>
      <c r="N146" s="95"/>
      <c r="O146" s="21"/>
      <c r="P146" s="21"/>
      <c r="Q146" s="21"/>
      <c r="R146" s="21"/>
      <c r="S146" s="21"/>
      <c r="T146" s="95"/>
    </row>
    <row r="147" ht="15.75" customHeight="1">
      <c r="A147" s="95"/>
      <c r="B147" s="95"/>
      <c r="C147" s="95"/>
      <c r="D147" s="95"/>
      <c r="E147" s="95"/>
      <c r="F147" s="95"/>
      <c r="G147" s="95"/>
      <c r="H147" s="95"/>
      <c r="I147" s="95"/>
      <c r="J147" s="95"/>
      <c r="K147" s="95"/>
      <c r="L147" s="95"/>
      <c r="M147" s="95"/>
      <c r="N147" s="95"/>
      <c r="O147" s="21"/>
      <c r="P147" s="21"/>
      <c r="Q147" s="21"/>
      <c r="R147" s="21"/>
      <c r="S147" s="21"/>
      <c r="T147" s="95"/>
    </row>
    <row r="148" ht="15.75" customHeight="1">
      <c r="A148" s="95"/>
      <c r="B148" s="95"/>
      <c r="C148" s="95"/>
      <c r="D148" s="95"/>
      <c r="E148" s="95"/>
      <c r="F148" s="95"/>
      <c r="G148" s="95"/>
      <c r="H148" s="95"/>
      <c r="I148" s="95"/>
      <c r="J148" s="95"/>
      <c r="K148" s="95"/>
      <c r="L148" s="95"/>
      <c r="M148" s="95"/>
      <c r="N148" s="95"/>
      <c r="O148" s="21"/>
      <c r="P148" s="21"/>
      <c r="Q148" s="21"/>
      <c r="R148" s="21"/>
      <c r="S148" s="21"/>
      <c r="T148" s="95"/>
    </row>
    <row r="149" ht="15.75" customHeight="1">
      <c r="A149" s="95"/>
      <c r="B149" s="95"/>
      <c r="C149" s="95"/>
      <c r="D149" s="95"/>
      <c r="E149" s="95"/>
      <c r="F149" s="95"/>
      <c r="G149" s="95"/>
      <c r="H149" s="95"/>
      <c r="I149" s="95"/>
      <c r="J149" s="95"/>
      <c r="K149" s="95"/>
      <c r="L149" s="95"/>
      <c r="M149" s="95"/>
      <c r="N149" s="95"/>
      <c r="O149" s="21"/>
      <c r="P149" s="21"/>
      <c r="Q149" s="21"/>
      <c r="R149" s="21"/>
      <c r="S149" s="21"/>
      <c r="T149" s="95"/>
    </row>
    <row r="150" ht="15.75" customHeight="1">
      <c r="A150" s="95"/>
      <c r="B150" s="95"/>
      <c r="C150" s="95"/>
      <c r="D150" s="95"/>
      <c r="E150" s="95"/>
      <c r="F150" s="95"/>
      <c r="G150" s="95"/>
      <c r="H150" s="95"/>
      <c r="I150" s="95"/>
      <c r="J150" s="95"/>
      <c r="K150" s="95"/>
      <c r="L150" s="95"/>
      <c r="M150" s="95"/>
      <c r="N150" s="95"/>
      <c r="O150" s="21"/>
      <c r="P150" s="21"/>
      <c r="Q150" s="21"/>
      <c r="R150" s="21"/>
      <c r="S150" s="21"/>
      <c r="T150" s="95"/>
    </row>
    <row r="151" ht="15.75" customHeight="1">
      <c r="A151" s="95"/>
      <c r="B151" s="95"/>
      <c r="C151" s="95"/>
      <c r="D151" s="95"/>
      <c r="E151" s="95"/>
      <c r="F151" s="95"/>
      <c r="G151" s="95"/>
      <c r="H151" s="95"/>
      <c r="I151" s="95"/>
      <c r="J151" s="95"/>
      <c r="K151" s="95"/>
      <c r="L151" s="95"/>
      <c r="M151" s="95"/>
      <c r="N151" s="95"/>
      <c r="O151" s="21"/>
      <c r="P151" s="21"/>
      <c r="Q151" s="21"/>
      <c r="R151" s="21"/>
      <c r="S151" s="21"/>
      <c r="T151" s="95"/>
    </row>
    <row r="152" ht="15.75" customHeight="1">
      <c r="A152" s="95"/>
      <c r="B152" s="95"/>
      <c r="C152" s="95"/>
      <c r="D152" s="95"/>
      <c r="E152" s="95"/>
      <c r="F152" s="95"/>
      <c r="G152" s="95"/>
      <c r="H152" s="95"/>
      <c r="I152" s="95"/>
      <c r="J152" s="95"/>
      <c r="K152" s="95"/>
      <c r="L152" s="95"/>
      <c r="M152" s="95"/>
      <c r="N152" s="95"/>
      <c r="O152" s="21"/>
      <c r="P152" s="21"/>
      <c r="Q152" s="21"/>
      <c r="R152" s="21"/>
      <c r="S152" s="21"/>
      <c r="T152" s="95"/>
    </row>
    <row r="153" ht="15.75" customHeight="1">
      <c r="A153" s="95"/>
      <c r="B153" s="95"/>
      <c r="C153" s="95"/>
      <c r="D153" s="95"/>
      <c r="E153" s="95"/>
      <c r="F153" s="95"/>
      <c r="G153" s="95"/>
      <c r="H153" s="95"/>
      <c r="I153" s="95"/>
      <c r="J153" s="95"/>
      <c r="K153" s="95"/>
      <c r="L153" s="95"/>
      <c r="M153" s="95"/>
      <c r="N153" s="95"/>
      <c r="O153" s="21"/>
      <c r="P153" s="21"/>
      <c r="Q153" s="21"/>
      <c r="R153" s="21"/>
      <c r="S153" s="21"/>
      <c r="T153" s="95"/>
    </row>
    <row r="154" ht="15.75" customHeight="1">
      <c r="A154" s="95"/>
      <c r="B154" s="95"/>
      <c r="C154" s="95"/>
      <c r="D154" s="95"/>
      <c r="E154" s="95"/>
      <c r="F154" s="95"/>
      <c r="G154" s="95"/>
      <c r="H154" s="95"/>
      <c r="I154" s="95"/>
      <c r="J154" s="95"/>
      <c r="K154" s="95"/>
      <c r="L154" s="95"/>
      <c r="M154" s="95"/>
      <c r="N154" s="95"/>
      <c r="O154" s="21"/>
      <c r="P154" s="21"/>
      <c r="Q154" s="21"/>
      <c r="R154" s="21"/>
      <c r="S154" s="21"/>
      <c r="T154" s="95"/>
    </row>
    <row r="155" ht="15.75" customHeight="1">
      <c r="A155" s="95"/>
      <c r="B155" s="95"/>
      <c r="C155" s="95"/>
      <c r="D155" s="95"/>
      <c r="E155" s="95"/>
      <c r="F155" s="95"/>
      <c r="G155" s="95"/>
      <c r="H155" s="95"/>
      <c r="I155" s="95"/>
      <c r="J155" s="95"/>
      <c r="K155" s="95"/>
      <c r="L155" s="95"/>
      <c r="M155" s="95"/>
      <c r="N155" s="95"/>
      <c r="O155" s="21"/>
      <c r="P155" s="21"/>
      <c r="Q155" s="21"/>
      <c r="R155" s="21"/>
      <c r="S155" s="21"/>
      <c r="T155" s="95"/>
    </row>
    <row r="156" ht="15.75" customHeight="1">
      <c r="A156" s="95"/>
      <c r="B156" s="95"/>
      <c r="C156" s="95"/>
      <c r="D156" s="95"/>
      <c r="E156" s="95"/>
      <c r="F156" s="95"/>
      <c r="G156" s="95"/>
      <c r="H156" s="95"/>
      <c r="I156" s="95"/>
      <c r="J156" s="95"/>
      <c r="K156" s="95"/>
      <c r="L156" s="95"/>
      <c r="M156" s="95"/>
      <c r="N156" s="95"/>
      <c r="O156" s="21"/>
      <c r="P156" s="21"/>
      <c r="Q156" s="21"/>
      <c r="R156" s="21"/>
      <c r="S156" s="21"/>
      <c r="T156" s="95"/>
    </row>
    <row r="157" ht="15.75" customHeight="1">
      <c r="A157" s="95"/>
      <c r="B157" s="95"/>
      <c r="C157" s="95"/>
      <c r="D157" s="95"/>
      <c r="E157" s="95"/>
      <c r="F157" s="95"/>
      <c r="G157" s="95"/>
      <c r="H157" s="95"/>
      <c r="I157" s="95"/>
      <c r="J157" s="95"/>
      <c r="K157" s="95"/>
      <c r="L157" s="95"/>
      <c r="M157" s="95"/>
      <c r="N157" s="95"/>
      <c r="O157" s="21"/>
      <c r="P157" s="21"/>
      <c r="Q157" s="21"/>
      <c r="R157" s="21"/>
      <c r="S157" s="21"/>
      <c r="T157" s="95"/>
    </row>
    <row r="158" ht="15.75" customHeight="1">
      <c r="A158" s="95"/>
      <c r="B158" s="95"/>
      <c r="C158" s="95"/>
      <c r="D158" s="95"/>
      <c r="E158" s="95"/>
      <c r="F158" s="95"/>
      <c r="G158" s="95"/>
      <c r="H158" s="95"/>
      <c r="I158" s="95"/>
      <c r="J158" s="95"/>
      <c r="K158" s="95"/>
      <c r="L158" s="95"/>
      <c r="M158" s="95"/>
      <c r="N158" s="95"/>
      <c r="O158" s="21"/>
      <c r="P158" s="21"/>
      <c r="Q158" s="21"/>
      <c r="R158" s="21"/>
      <c r="S158" s="21"/>
      <c r="T158" s="95"/>
    </row>
    <row r="159" ht="15.75" customHeight="1">
      <c r="A159" s="95"/>
      <c r="B159" s="95"/>
      <c r="C159" s="95"/>
      <c r="D159" s="95"/>
      <c r="E159" s="95"/>
      <c r="F159" s="95"/>
      <c r="G159" s="95"/>
      <c r="H159" s="95"/>
      <c r="I159" s="95"/>
      <c r="J159" s="95"/>
      <c r="K159" s="95"/>
      <c r="L159" s="95"/>
      <c r="M159" s="95"/>
      <c r="N159" s="95"/>
      <c r="O159" s="21"/>
      <c r="P159" s="21"/>
      <c r="Q159" s="21"/>
      <c r="R159" s="21"/>
      <c r="S159" s="21"/>
      <c r="T159" s="95"/>
    </row>
    <row r="160" ht="15.75" customHeight="1">
      <c r="A160" s="95"/>
      <c r="B160" s="95"/>
      <c r="C160" s="95"/>
      <c r="D160" s="95"/>
      <c r="E160" s="95"/>
      <c r="F160" s="95"/>
      <c r="G160" s="95"/>
      <c r="H160" s="95"/>
      <c r="I160" s="95"/>
      <c r="J160" s="95"/>
      <c r="K160" s="95"/>
      <c r="L160" s="95"/>
      <c r="M160" s="95"/>
      <c r="N160" s="95"/>
      <c r="O160" s="21"/>
      <c r="P160" s="21"/>
      <c r="Q160" s="21"/>
      <c r="R160" s="21"/>
      <c r="S160" s="21"/>
      <c r="T160" s="95"/>
    </row>
    <row r="161" ht="15.75" customHeight="1">
      <c r="A161" s="95"/>
      <c r="B161" s="95"/>
      <c r="C161" s="95"/>
      <c r="D161" s="95"/>
      <c r="E161" s="95"/>
      <c r="F161" s="95"/>
      <c r="G161" s="95"/>
      <c r="H161" s="95"/>
      <c r="I161" s="95"/>
      <c r="J161" s="95"/>
      <c r="K161" s="95"/>
      <c r="L161" s="95"/>
      <c r="M161" s="95"/>
      <c r="N161" s="95"/>
      <c r="O161" s="21"/>
      <c r="P161" s="21"/>
      <c r="Q161" s="21"/>
      <c r="R161" s="21"/>
      <c r="S161" s="21"/>
      <c r="T161" s="95"/>
    </row>
    <row r="162" ht="15.75" customHeight="1">
      <c r="A162" s="95"/>
      <c r="B162" s="95"/>
      <c r="C162" s="95"/>
      <c r="D162" s="95"/>
      <c r="E162" s="95"/>
      <c r="F162" s="95"/>
      <c r="G162" s="95"/>
      <c r="H162" s="95"/>
      <c r="I162" s="95"/>
      <c r="J162" s="95"/>
      <c r="K162" s="95"/>
      <c r="L162" s="95"/>
      <c r="M162" s="95"/>
      <c r="N162" s="95"/>
      <c r="O162" s="21"/>
      <c r="P162" s="21"/>
      <c r="Q162" s="21"/>
      <c r="R162" s="21"/>
      <c r="S162" s="21"/>
      <c r="T162" s="95"/>
    </row>
    <row r="163" ht="15.75" customHeight="1">
      <c r="A163" s="95"/>
      <c r="B163" s="95"/>
      <c r="C163" s="95"/>
      <c r="D163" s="95"/>
      <c r="E163" s="95"/>
      <c r="F163" s="95"/>
      <c r="G163" s="95"/>
      <c r="H163" s="95"/>
      <c r="I163" s="95"/>
      <c r="J163" s="95"/>
      <c r="K163" s="95"/>
      <c r="L163" s="95"/>
      <c r="M163" s="95"/>
      <c r="N163" s="95"/>
      <c r="O163" s="21"/>
      <c r="P163" s="21"/>
      <c r="Q163" s="21"/>
      <c r="R163" s="21"/>
      <c r="S163" s="21"/>
      <c r="T163" s="95"/>
    </row>
    <row r="164" ht="15.75" customHeight="1">
      <c r="A164" s="95"/>
      <c r="B164" s="95"/>
      <c r="C164" s="95"/>
      <c r="D164" s="95"/>
      <c r="E164" s="95"/>
      <c r="F164" s="95"/>
      <c r="G164" s="95"/>
      <c r="H164" s="95"/>
      <c r="I164" s="95"/>
      <c r="J164" s="95"/>
      <c r="K164" s="95"/>
      <c r="L164" s="95"/>
      <c r="M164" s="95"/>
      <c r="N164" s="95"/>
      <c r="O164" s="21"/>
      <c r="P164" s="21"/>
      <c r="Q164" s="21"/>
      <c r="R164" s="21"/>
      <c r="S164" s="21"/>
      <c r="T164" s="95"/>
    </row>
    <row r="165" ht="15.75" customHeight="1">
      <c r="A165" s="95"/>
      <c r="B165" s="95"/>
      <c r="C165" s="95"/>
      <c r="D165" s="95"/>
      <c r="E165" s="95"/>
      <c r="F165" s="95"/>
      <c r="G165" s="95"/>
      <c r="H165" s="95"/>
      <c r="I165" s="95"/>
      <c r="J165" s="95"/>
      <c r="K165" s="95"/>
      <c r="L165" s="95"/>
      <c r="M165" s="95"/>
      <c r="N165" s="95"/>
      <c r="O165" s="21"/>
      <c r="P165" s="21"/>
      <c r="Q165" s="21"/>
      <c r="R165" s="21"/>
      <c r="S165" s="21"/>
      <c r="T165" s="95"/>
    </row>
    <row r="166" ht="15.75" customHeight="1">
      <c r="A166" s="95"/>
      <c r="B166" s="95"/>
      <c r="C166" s="95"/>
      <c r="D166" s="95"/>
      <c r="E166" s="95"/>
      <c r="F166" s="95"/>
      <c r="G166" s="95"/>
      <c r="H166" s="95"/>
      <c r="I166" s="95"/>
      <c r="J166" s="95"/>
      <c r="K166" s="95"/>
      <c r="L166" s="95"/>
      <c r="M166" s="95"/>
      <c r="N166" s="95"/>
      <c r="O166" s="21"/>
      <c r="P166" s="21"/>
      <c r="Q166" s="21"/>
      <c r="R166" s="21"/>
      <c r="S166" s="21"/>
      <c r="T166" s="95"/>
    </row>
    <row r="167" ht="15.75" customHeight="1">
      <c r="A167" s="95"/>
      <c r="B167" s="95"/>
      <c r="C167" s="95"/>
      <c r="D167" s="95"/>
      <c r="E167" s="95"/>
      <c r="F167" s="95"/>
      <c r="G167" s="95"/>
      <c r="H167" s="95"/>
      <c r="I167" s="95"/>
      <c r="J167" s="95"/>
      <c r="K167" s="95"/>
      <c r="L167" s="95"/>
      <c r="M167" s="95"/>
      <c r="N167" s="95"/>
      <c r="O167" s="21"/>
      <c r="P167" s="21"/>
      <c r="Q167" s="21"/>
      <c r="R167" s="21"/>
      <c r="S167" s="21"/>
      <c r="T167" s="95"/>
    </row>
    <row r="168" ht="15.75" customHeight="1">
      <c r="A168" s="95"/>
      <c r="B168" s="95"/>
      <c r="C168" s="95"/>
      <c r="D168" s="95"/>
      <c r="E168" s="95"/>
      <c r="F168" s="95"/>
      <c r="G168" s="95"/>
      <c r="H168" s="95"/>
      <c r="I168" s="95"/>
      <c r="J168" s="95"/>
      <c r="K168" s="95"/>
      <c r="L168" s="95"/>
      <c r="M168" s="95"/>
      <c r="N168" s="95"/>
      <c r="O168" s="21"/>
      <c r="P168" s="21"/>
      <c r="Q168" s="21"/>
      <c r="R168" s="21"/>
      <c r="S168" s="21"/>
      <c r="T168" s="95"/>
    </row>
    <row r="169" ht="15.75" customHeight="1">
      <c r="A169" s="95"/>
      <c r="B169" s="95"/>
      <c r="C169" s="95"/>
      <c r="D169" s="95"/>
      <c r="E169" s="95"/>
      <c r="F169" s="95"/>
      <c r="G169" s="95"/>
      <c r="H169" s="95"/>
      <c r="I169" s="95"/>
      <c r="J169" s="95"/>
      <c r="K169" s="95"/>
      <c r="L169" s="95"/>
      <c r="M169" s="95"/>
      <c r="N169" s="95"/>
      <c r="O169" s="21"/>
      <c r="P169" s="21"/>
      <c r="Q169" s="21"/>
      <c r="R169" s="21"/>
      <c r="S169" s="21"/>
      <c r="T169" s="95"/>
    </row>
    <row r="170" ht="15.75" customHeight="1">
      <c r="A170" s="95"/>
      <c r="B170" s="95"/>
      <c r="C170" s="95"/>
      <c r="D170" s="95"/>
      <c r="E170" s="95"/>
      <c r="F170" s="95"/>
      <c r="G170" s="95"/>
      <c r="H170" s="95"/>
      <c r="I170" s="95"/>
      <c r="J170" s="95"/>
      <c r="K170" s="95"/>
      <c r="L170" s="95"/>
      <c r="M170" s="95"/>
      <c r="N170" s="95"/>
      <c r="O170" s="21"/>
      <c r="P170" s="21"/>
      <c r="Q170" s="21"/>
      <c r="R170" s="21"/>
      <c r="S170" s="21"/>
      <c r="T170" s="95"/>
    </row>
    <row r="171" ht="15.75" customHeight="1">
      <c r="A171" s="95"/>
      <c r="B171" s="95"/>
      <c r="C171" s="95"/>
      <c r="D171" s="95"/>
      <c r="E171" s="95"/>
      <c r="F171" s="95"/>
      <c r="G171" s="95"/>
      <c r="H171" s="95"/>
      <c r="I171" s="95"/>
      <c r="J171" s="95"/>
      <c r="K171" s="95"/>
      <c r="L171" s="95"/>
      <c r="M171" s="95"/>
      <c r="N171" s="95"/>
      <c r="O171" s="21"/>
      <c r="P171" s="21"/>
      <c r="Q171" s="21"/>
      <c r="R171" s="21"/>
      <c r="S171" s="21"/>
      <c r="T171" s="95"/>
    </row>
    <row r="172" ht="15.75" customHeight="1">
      <c r="A172" s="95"/>
      <c r="B172" s="95"/>
      <c r="C172" s="95"/>
      <c r="D172" s="95"/>
      <c r="E172" s="95"/>
      <c r="F172" s="95"/>
      <c r="G172" s="95"/>
      <c r="H172" s="95"/>
      <c r="I172" s="95"/>
      <c r="J172" s="95"/>
      <c r="K172" s="95"/>
      <c r="L172" s="95"/>
      <c r="M172" s="95"/>
      <c r="N172" s="95"/>
      <c r="O172" s="21"/>
      <c r="P172" s="21"/>
      <c r="Q172" s="21"/>
      <c r="R172" s="21"/>
      <c r="S172" s="21"/>
      <c r="T172" s="95"/>
    </row>
    <row r="173" ht="15.75" customHeight="1">
      <c r="A173" s="95"/>
      <c r="B173" s="95"/>
      <c r="C173" s="95"/>
      <c r="D173" s="95"/>
      <c r="E173" s="95"/>
      <c r="F173" s="95"/>
      <c r="G173" s="95"/>
      <c r="H173" s="95"/>
      <c r="I173" s="95"/>
      <c r="J173" s="95"/>
      <c r="K173" s="95"/>
      <c r="L173" s="95"/>
      <c r="M173" s="95"/>
      <c r="N173" s="95"/>
      <c r="O173" s="21"/>
      <c r="P173" s="21"/>
      <c r="Q173" s="21"/>
      <c r="R173" s="21"/>
      <c r="S173" s="21"/>
      <c r="T173" s="95"/>
    </row>
    <row r="174" ht="15.75" customHeight="1">
      <c r="A174" s="95"/>
      <c r="B174" s="95"/>
      <c r="C174" s="95"/>
      <c r="D174" s="95"/>
      <c r="E174" s="95"/>
      <c r="F174" s="95"/>
      <c r="G174" s="95"/>
      <c r="H174" s="95"/>
      <c r="I174" s="95"/>
      <c r="J174" s="95"/>
      <c r="K174" s="95"/>
      <c r="L174" s="95"/>
      <c r="M174" s="95"/>
      <c r="N174" s="95"/>
      <c r="O174" s="21"/>
      <c r="P174" s="21"/>
      <c r="Q174" s="21"/>
      <c r="R174" s="21"/>
      <c r="S174" s="21"/>
      <c r="T174" s="95"/>
    </row>
    <row r="175" ht="15.75" customHeight="1">
      <c r="A175" s="95"/>
      <c r="B175" s="95"/>
      <c r="C175" s="95"/>
      <c r="D175" s="95"/>
      <c r="E175" s="95"/>
      <c r="F175" s="95"/>
      <c r="G175" s="95"/>
      <c r="H175" s="95"/>
      <c r="I175" s="95"/>
      <c r="J175" s="95"/>
      <c r="K175" s="95"/>
      <c r="L175" s="95"/>
      <c r="M175" s="95"/>
      <c r="N175" s="95"/>
      <c r="O175" s="21"/>
      <c r="P175" s="21"/>
      <c r="Q175" s="21"/>
      <c r="R175" s="21"/>
      <c r="S175" s="21"/>
      <c r="T175" s="95"/>
    </row>
    <row r="176" ht="15.75" customHeight="1">
      <c r="A176" s="95"/>
      <c r="B176" s="95"/>
      <c r="C176" s="95"/>
      <c r="D176" s="95"/>
      <c r="E176" s="95"/>
      <c r="F176" s="95"/>
      <c r="G176" s="95"/>
      <c r="H176" s="95"/>
      <c r="I176" s="95"/>
      <c r="J176" s="95"/>
      <c r="K176" s="95"/>
      <c r="L176" s="95"/>
      <c r="M176" s="95"/>
      <c r="N176" s="95"/>
      <c r="O176" s="21"/>
      <c r="P176" s="21"/>
      <c r="Q176" s="21"/>
      <c r="R176" s="21"/>
      <c r="S176" s="21"/>
      <c r="T176" s="95"/>
    </row>
    <row r="177" ht="15.75" customHeight="1">
      <c r="A177" s="95"/>
      <c r="B177" s="95"/>
      <c r="C177" s="95"/>
      <c r="D177" s="95"/>
      <c r="E177" s="95"/>
      <c r="F177" s="95"/>
      <c r="G177" s="95"/>
      <c r="H177" s="95"/>
      <c r="I177" s="95"/>
      <c r="J177" s="95"/>
      <c r="K177" s="95"/>
      <c r="L177" s="95"/>
      <c r="M177" s="95"/>
      <c r="N177" s="95"/>
      <c r="O177" s="21"/>
      <c r="P177" s="21"/>
      <c r="Q177" s="21"/>
      <c r="R177" s="21"/>
      <c r="S177" s="21"/>
      <c r="T177" s="95"/>
    </row>
    <row r="178" ht="15.75" customHeight="1">
      <c r="A178" s="95"/>
      <c r="B178" s="95"/>
      <c r="C178" s="95"/>
      <c r="D178" s="95"/>
      <c r="E178" s="95"/>
      <c r="F178" s="95"/>
      <c r="G178" s="95"/>
      <c r="H178" s="95"/>
      <c r="I178" s="95"/>
      <c r="J178" s="95"/>
      <c r="K178" s="95"/>
      <c r="L178" s="95"/>
      <c r="M178" s="95"/>
      <c r="N178" s="95"/>
      <c r="O178" s="21"/>
      <c r="P178" s="21"/>
      <c r="Q178" s="21"/>
      <c r="R178" s="21"/>
      <c r="S178" s="21"/>
      <c r="T178" s="95"/>
    </row>
    <row r="179" ht="15.75" customHeight="1">
      <c r="A179" s="95"/>
      <c r="B179" s="95"/>
      <c r="C179" s="95"/>
      <c r="D179" s="95"/>
      <c r="E179" s="95"/>
      <c r="F179" s="95"/>
      <c r="G179" s="95"/>
      <c r="H179" s="95"/>
      <c r="I179" s="95"/>
      <c r="J179" s="95"/>
      <c r="K179" s="95"/>
      <c r="L179" s="95"/>
      <c r="M179" s="95"/>
      <c r="N179" s="95"/>
      <c r="O179" s="21"/>
      <c r="P179" s="21"/>
      <c r="Q179" s="21"/>
      <c r="R179" s="21"/>
      <c r="S179" s="21"/>
      <c r="T179" s="95"/>
    </row>
    <row r="180" ht="15.75" customHeight="1">
      <c r="A180" s="95"/>
      <c r="B180" s="95"/>
      <c r="C180" s="95"/>
      <c r="D180" s="95"/>
      <c r="E180" s="95"/>
      <c r="F180" s="95"/>
      <c r="G180" s="95"/>
      <c r="H180" s="95"/>
      <c r="I180" s="95"/>
      <c r="J180" s="95"/>
      <c r="K180" s="95"/>
      <c r="L180" s="95"/>
      <c r="M180" s="95"/>
      <c r="N180" s="95"/>
      <c r="O180" s="21"/>
      <c r="P180" s="21"/>
      <c r="Q180" s="21"/>
      <c r="R180" s="21"/>
      <c r="S180" s="21"/>
      <c r="T180" s="95"/>
    </row>
    <row r="181" ht="15.75" customHeight="1">
      <c r="A181" s="95"/>
      <c r="B181" s="95"/>
      <c r="C181" s="95"/>
      <c r="D181" s="95"/>
      <c r="E181" s="95"/>
      <c r="F181" s="95"/>
      <c r="G181" s="95"/>
      <c r="H181" s="95"/>
      <c r="I181" s="95"/>
      <c r="J181" s="95"/>
      <c r="K181" s="95"/>
      <c r="L181" s="95"/>
      <c r="M181" s="95"/>
      <c r="N181" s="95"/>
      <c r="O181" s="21"/>
      <c r="P181" s="21"/>
      <c r="Q181" s="21"/>
      <c r="R181" s="21"/>
      <c r="S181" s="21"/>
      <c r="T181" s="95"/>
    </row>
    <row r="182" ht="15.75" customHeight="1">
      <c r="A182" s="95"/>
      <c r="B182" s="95"/>
      <c r="C182" s="95"/>
      <c r="D182" s="95"/>
      <c r="E182" s="95"/>
      <c r="F182" s="95"/>
      <c r="G182" s="95"/>
      <c r="H182" s="95"/>
      <c r="I182" s="95"/>
      <c r="J182" s="95"/>
      <c r="K182" s="95"/>
      <c r="L182" s="95"/>
      <c r="M182" s="95"/>
      <c r="N182" s="95"/>
      <c r="O182" s="21"/>
      <c r="P182" s="21"/>
      <c r="Q182" s="21"/>
      <c r="R182" s="21"/>
      <c r="S182" s="21"/>
      <c r="T182" s="95"/>
    </row>
    <row r="183" ht="15.75" customHeight="1">
      <c r="A183" s="95"/>
      <c r="B183" s="95"/>
      <c r="C183" s="95"/>
      <c r="D183" s="95"/>
      <c r="E183" s="95"/>
      <c r="F183" s="95"/>
      <c r="G183" s="95"/>
      <c r="H183" s="95"/>
      <c r="I183" s="95"/>
      <c r="J183" s="95"/>
      <c r="K183" s="95"/>
      <c r="L183" s="95"/>
      <c r="M183" s="95"/>
      <c r="N183" s="95"/>
      <c r="O183" s="21"/>
      <c r="P183" s="21"/>
      <c r="Q183" s="21"/>
      <c r="R183" s="21"/>
      <c r="S183" s="21"/>
      <c r="T183" s="95"/>
    </row>
    <row r="184" ht="15.75" customHeight="1">
      <c r="A184" s="95"/>
      <c r="B184" s="95"/>
      <c r="C184" s="95"/>
      <c r="D184" s="95"/>
      <c r="E184" s="95"/>
      <c r="F184" s="95"/>
      <c r="G184" s="95"/>
      <c r="H184" s="95"/>
      <c r="I184" s="95"/>
      <c r="J184" s="95"/>
      <c r="K184" s="95"/>
      <c r="L184" s="95"/>
      <c r="M184" s="95"/>
      <c r="N184" s="95"/>
      <c r="O184" s="21"/>
      <c r="P184" s="21"/>
      <c r="Q184" s="21"/>
      <c r="R184" s="21"/>
      <c r="S184" s="21"/>
      <c r="T184" s="95"/>
    </row>
    <row r="185" ht="15.75" customHeight="1">
      <c r="A185" s="95"/>
      <c r="B185" s="95"/>
      <c r="C185" s="95"/>
      <c r="D185" s="95"/>
      <c r="E185" s="95"/>
      <c r="F185" s="95"/>
      <c r="G185" s="95"/>
      <c r="H185" s="95"/>
      <c r="I185" s="95"/>
      <c r="J185" s="95"/>
      <c r="K185" s="95"/>
      <c r="L185" s="95"/>
      <c r="M185" s="95"/>
      <c r="N185" s="95"/>
      <c r="O185" s="21"/>
      <c r="P185" s="21"/>
      <c r="Q185" s="21"/>
      <c r="R185" s="21"/>
      <c r="S185" s="21"/>
      <c r="T185" s="95"/>
    </row>
    <row r="186" ht="15.75" customHeight="1">
      <c r="A186" s="95"/>
      <c r="B186" s="95"/>
      <c r="C186" s="95"/>
      <c r="D186" s="95"/>
      <c r="E186" s="95"/>
      <c r="F186" s="95"/>
      <c r="G186" s="95"/>
      <c r="H186" s="95"/>
      <c r="I186" s="95"/>
      <c r="J186" s="95"/>
      <c r="K186" s="95"/>
      <c r="L186" s="95"/>
      <c r="M186" s="95"/>
      <c r="N186" s="95"/>
      <c r="O186" s="21"/>
      <c r="P186" s="21"/>
      <c r="Q186" s="21"/>
      <c r="R186" s="21"/>
      <c r="S186" s="21"/>
      <c r="T186" s="95"/>
    </row>
    <row r="187" ht="15.75" customHeight="1">
      <c r="A187" s="95"/>
      <c r="B187" s="95"/>
      <c r="C187" s="95"/>
      <c r="D187" s="95"/>
      <c r="E187" s="95"/>
      <c r="F187" s="95"/>
      <c r="G187" s="95"/>
      <c r="H187" s="95"/>
      <c r="I187" s="95"/>
      <c r="J187" s="95"/>
      <c r="K187" s="95"/>
      <c r="L187" s="95"/>
      <c r="M187" s="95"/>
      <c r="N187" s="95"/>
      <c r="O187" s="21"/>
      <c r="P187" s="21"/>
      <c r="Q187" s="21"/>
      <c r="R187" s="21"/>
      <c r="S187" s="21"/>
      <c r="T187" s="95"/>
    </row>
    <row r="188" ht="15.75" customHeight="1">
      <c r="A188" s="95"/>
      <c r="B188" s="95"/>
      <c r="C188" s="95"/>
      <c r="D188" s="95"/>
      <c r="E188" s="95"/>
      <c r="F188" s="95"/>
      <c r="G188" s="95"/>
      <c r="H188" s="95"/>
      <c r="I188" s="95"/>
      <c r="J188" s="95"/>
      <c r="K188" s="95"/>
      <c r="L188" s="95"/>
      <c r="M188" s="95"/>
      <c r="N188" s="95"/>
      <c r="O188" s="21"/>
      <c r="P188" s="21"/>
      <c r="Q188" s="21"/>
      <c r="R188" s="21"/>
      <c r="S188" s="21"/>
      <c r="T188" s="95"/>
    </row>
    <row r="189" ht="15.75" customHeight="1">
      <c r="A189" s="95"/>
      <c r="B189" s="95"/>
      <c r="C189" s="95"/>
      <c r="D189" s="95"/>
      <c r="E189" s="95"/>
      <c r="F189" s="95"/>
      <c r="G189" s="95"/>
      <c r="H189" s="95"/>
      <c r="I189" s="95"/>
      <c r="J189" s="95"/>
      <c r="K189" s="95"/>
      <c r="L189" s="95"/>
      <c r="M189" s="95"/>
      <c r="N189" s="95"/>
      <c r="O189" s="21"/>
      <c r="P189" s="21"/>
      <c r="Q189" s="21"/>
      <c r="R189" s="21"/>
      <c r="S189" s="21"/>
      <c r="T189" s="95"/>
    </row>
    <row r="190" ht="15.75" customHeight="1">
      <c r="A190" s="95"/>
      <c r="B190" s="95"/>
      <c r="C190" s="95"/>
      <c r="D190" s="95"/>
      <c r="E190" s="95"/>
      <c r="F190" s="95"/>
      <c r="G190" s="95"/>
      <c r="H190" s="95"/>
      <c r="I190" s="95"/>
      <c r="J190" s="95"/>
      <c r="K190" s="95"/>
      <c r="L190" s="95"/>
      <c r="M190" s="95"/>
      <c r="N190" s="95"/>
      <c r="O190" s="21"/>
      <c r="P190" s="21"/>
      <c r="Q190" s="21"/>
      <c r="R190" s="21"/>
      <c r="S190" s="21"/>
      <c r="T190" s="95"/>
    </row>
    <row r="191" ht="15.75" customHeight="1">
      <c r="A191" s="95"/>
      <c r="B191" s="95"/>
      <c r="C191" s="95"/>
      <c r="D191" s="95"/>
      <c r="E191" s="95"/>
      <c r="F191" s="95"/>
      <c r="G191" s="95"/>
      <c r="H191" s="95"/>
      <c r="I191" s="95"/>
      <c r="J191" s="95"/>
      <c r="K191" s="95"/>
      <c r="L191" s="95"/>
      <c r="M191" s="95"/>
      <c r="N191" s="95"/>
      <c r="O191" s="21"/>
      <c r="P191" s="21"/>
      <c r="Q191" s="21"/>
      <c r="R191" s="21"/>
      <c r="S191" s="21"/>
      <c r="T191" s="95"/>
    </row>
    <row r="192" ht="15.75" customHeight="1">
      <c r="A192" s="95"/>
      <c r="B192" s="95"/>
      <c r="C192" s="95"/>
      <c r="D192" s="95"/>
      <c r="E192" s="95"/>
      <c r="F192" s="95"/>
      <c r="G192" s="95"/>
      <c r="H192" s="95"/>
      <c r="I192" s="95"/>
      <c r="J192" s="95"/>
      <c r="K192" s="95"/>
      <c r="L192" s="95"/>
      <c r="M192" s="95"/>
      <c r="N192" s="95"/>
      <c r="O192" s="21"/>
      <c r="P192" s="21"/>
      <c r="Q192" s="21"/>
      <c r="R192" s="21"/>
      <c r="S192" s="21"/>
      <c r="T192" s="95"/>
    </row>
    <row r="193" ht="15.75" customHeight="1">
      <c r="A193" s="95"/>
      <c r="B193" s="95"/>
      <c r="C193" s="95"/>
      <c r="D193" s="95"/>
      <c r="E193" s="95"/>
      <c r="F193" s="95"/>
      <c r="G193" s="95"/>
      <c r="H193" s="95"/>
      <c r="I193" s="95"/>
      <c r="J193" s="95"/>
      <c r="K193" s="95"/>
      <c r="L193" s="95"/>
      <c r="M193" s="95"/>
      <c r="N193" s="95"/>
      <c r="O193" s="21"/>
      <c r="P193" s="21"/>
      <c r="Q193" s="21"/>
      <c r="R193" s="21"/>
      <c r="S193" s="21"/>
      <c r="T193" s="95"/>
    </row>
    <row r="194" ht="15.75" customHeight="1">
      <c r="A194" s="95"/>
      <c r="B194" s="95"/>
      <c r="C194" s="95"/>
      <c r="D194" s="95"/>
      <c r="E194" s="95"/>
      <c r="F194" s="95"/>
      <c r="G194" s="95"/>
      <c r="H194" s="95"/>
      <c r="I194" s="95"/>
      <c r="J194" s="95"/>
      <c r="K194" s="95"/>
      <c r="L194" s="95"/>
      <c r="M194" s="95"/>
      <c r="N194" s="95"/>
      <c r="O194" s="21"/>
      <c r="P194" s="21"/>
      <c r="Q194" s="21"/>
      <c r="R194" s="21"/>
      <c r="S194" s="21"/>
      <c r="T194" s="95"/>
    </row>
    <row r="195" ht="15.75" customHeight="1">
      <c r="A195" s="95"/>
      <c r="B195" s="95"/>
      <c r="C195" s="95"/>
      <c r="D195" s="95"/>
      <c r="E195" s="95"/>
      <c r="F195" s="95"/>
      <c r="G195" s="95"/>
      <c r="H195" s="95"/>
      <c r="I195" s="95"/>
      <c r="J195" s="95"/>
      <c r="K195" s="95"/>
      <c r="L195" s="95"/>
      <c r="M195" s="95"/>
      <c r="N195" s="95"/>
      <c r="O195" s="21"/>
      <c r="P195" s="21"/>
      <c r="Q195" s="21"/>
      <c r="R195" s="21"/>
      <c r="S195" s="21"/>
      <c r="T195" s="95"/>
    </row>
    <row r="196" ht="15.75" customHeight="1">
      <c r="A196" s="95"/>
      <c r="B196" s="95"/>
      <c r="C196" s="95"/>
      <c r="D196" s="95"/>
      <c r="E196" s="95"/>
      <c r="F196" s="95"/>
      <c r="G196" s="95"/>
      <c r="H196" s="95"/>
      <c r="I196" s="95"/>
      <c r="J196" s="95"/>
      <c r="K196" s="95"/>
      <c r="L196" s="95"/>
      <c r="M196" s="95"/>
      <c r="N196" s="95"/>
      <c r="O196" s="21"/>
      <c r="P196" s="21"/>
      <c r="Q196" s="21"/>
      <c r="R196" s="21"/>
      <c r="S196" s="21"/>
      <c r="T196" s="95"/>
    </row>
    <row r="197" ht="15.75" customHeight="1">
      <c r="A197" s="95"/>
      <c r="B197" s="95"/>
      <c r="C197" s="95"/>
      <c r="D197" s="95"/>
      <c r="E197" s="95"/>
      <c r="F197" s="95"/>
      <c r="G197" s="95"/>
      <c r="H197" s="95"/>
      <c r="I197" s="95"/>
      <c r="J197" s="95"/>
      <c r="K197" s="95"/>
      <c r="L197" s="95"/>
      <c r="M197" s="95"/>
      <c r="N197" s="95"/>
      <c r="O197" s="21"/>
      <c r="P197" s="21"/>
      <c r="Q197" s="21"/>
      <c r="R197" s="21"/>
      <c r="S197" s="21"/>
      <c r="T197" s="95"/>
    </row>
    <row r="198" ht="15.75" customHeight="1">
      <c r="A198" s="95"/>
      <c r="B198" s="95"/>
      <c r="C198" s="95"/>
      <c r="D198" s="95"/>
      <c r="E198" s="95"/>
      <c r="F198" s="95"/>
      <c r="G198" s="95"/>
      <c r="H198" s="95"/>
      <c r="I198" s="95"/>
      <c r="J198" s="95"/>
      <c r="K198" s="95"/>
      <c r="L198" s="95"/>
      <c r="M198" s="95"/>
      <c r="N198" s="95"/>
      <c r="O198" s="21"/>
      <c r="P198" s="21"/>
      <c r="Q198" s="21"/>
      <c r="R198" s="21"/>
      <c r="S198" s="21"/>
      <c r="T198" s="95"/>
    </row>
    <row r="199" ht="15.75" customHeight="1">
      <c r="A199" s="95"/>
      <c r="B199" s="95"/>
      <c r="C199" s="95"/>
      <c r="D199" s="95"/>
      <c r="E199" s="95"/>
      <c r="F199" s="95"/>
      <c r="G199" s="95"/>
      <c r="H199" s="95"/>
      <c r="I199" s="95"/>
      <c r="J199" s="95"/>
      <c r="K199" s="95"/>
      <c r="L199" s="95"/>
      <c r="M199" s="95"/>
      <c r="N199" s="95"/>
      <c r="O199" s="21"/>
      <c r="P199" s="21"/>
      <c r="Q199" s="21"/>
      <c r="R199" s="21"/>
      <c r="S199" s="21"/>
      <c r="T199" s="95"/>
    </row>
    <row r="200" ht="15.75" customHeight="1">
      <c r="A200" s="95"/>
      <c r="B200" s="95"/>
      <c r="C200" s="95"/>
      <c r="D200" s="95"/>
      <c r="E200" s="95"/>
      <c r="F200" s="95"/>
      <c r="G200" s="95"/>
      <c r="H200" s="95"/>
      <c r="I200" s="95"/>
      <c r="J200" s="95"/>
      <c r="K200" s="95"/>
      <c r="L200" s="95"/>
      <c r="M200" s="95"/>
      <c r="N200" s="95"/>
      <c r="O200" s="21"/>
      <c r="P200" s="21"/>
      <c r="Q200" s="21"/>
      <c r="R200" s="21"/>
      <c r="S200" s="21"/>
      <c r="T200" s="95"/>
    </row>
    <row r="201" ht="15.75" customHeight="1">
      <c r="A201" s="95"/>
      <c r="B201" s="95"/>
      <c r="C201" s="95"/>
      <c r="D201" s="95"/>
      <c r="E201" s="95"/>
      <c r="F201" s="95"/>
      <c r="G201" s="95"/>
      <c r="H201" s="95"/>
      <c r="I201" s="95"/>
      <c r="J201" s="95"/>
      <c r="K201" s="95"/>
      <c r="L201" s="95"/>
      <c r="M201" s="95"/>
      <c r="N201" s="95"/>
      <c r="O201" s="21"/>
      <c r="P201" s="21"/>
      <c r="Q201" s="21"/>
      <c r="R201" s="21"/>
      <c r="S201" s="21"/>
      <c r="T201" s="95"/>
    </row>
    <row r="202" ht="15.75" customHeight="1">
      <c r="A202" s="95"/>
      <c r="B202" s="95"/>
      <c r="C202" s="95"/>
      <c r="D202" s="95"/>
      <c r="E202" s="95"/>
      <c r="F202" s="95"/>
      <c r="G202" s="95"/>
      <c r="H202" s="95"/>
      <c r="I202" s="95"/>
      <c r="J202" s="95"/>
      <c r="K202" s="95"/>
      <c r="L202" s="95"/>
      <c r="M202" s="95"/>
      <c r="N202" s="95"/>
      <c r="O202" s="21"/>
      <c r="P202" s="21"/>
      <c r="Q202" s="21"/>
      <c r="R202" s="21"/>
      <c r="S202" s="21"/>
      <c r="T202" s="95"/>
    </row>
    <row r="203" ht="15.75" customHeight="1">
      <c r="A203" s="95"/>
      <c r="B203" s="95"/>
      <c r="C203" s="95"/>
      <c r="D203" s="95"/>
      <c r="E203" s="95"/>
      <c r="F203" s="95"/>
      <c r="G203" s="95"/>
      <c r="H203" s="95"/>
      <c r="I203" s="95"/>
      <c r="J203" s="95"/>
      <c r="K203" s="95"/>
      <c r="L203" s="95"/>
      <c r="M203" s="95"/>
      <c r="N203" s="95"/>
      <c r="O203" s="21"/>
      <c r="P203" s="21"/>
      <c r="Q203" s="21"/>
      <c r="R203" s="21"/>
      <c r="S203" s="21"/>
      <c r="T203" s="95"/>
    </row>
    <row r="204" ht="15.75" customHeight="1">
      <c r="A204" s="95"/>
      <c r="B204" s="95"/>
      <c r="C204" s="95"/>
      <c r="D204" s="95"/>
      <c r="E204" s="95"/>
      <c r="F204" s="95"/>
      <c r="G204" s="95"/>
      <c r="H204" s="95"/>
      <c r="I204" s="95"/>
      <c r="J204" s="95"/>
      <c r="K204" s="95"/>
      <c r="L204" s="95"/>
      <c r="M204" s="95"/>
      <c r="N204" s="95"/>
      <c r="O204" s="21"/>
      <c r="P204" s="21"/>
      <c r="Q204" s="21"/>
      <c r="R204" s="21"/>
      <c r="S204" s="21"/>
      <c r="T204" s="95"/>
    </row>
    <row r="205" ht="15.75" customHeight="1">
      <c r="A205" s="95"/>
      <c r="B205" s="95"/>
      <c r="C205" s="95"/>
      <c r="D205" s="95"/>
      <c r="E205" s="95"/>
      <c r="F205" s="95"/>
      <c r="G205" s="95"/>
      <c r="H205" s="95"/>
      <c r="I205" s="95"/>
      <c r="J205" s="95"/>
      <c r="K205" s="95"/>
      <c r="L205" s="95"/>
      <c r="M205" s="95"/>
      <c r="N205" s="95"/>
      <c r="O205" s="21"/>
      <c r="P205" s="21"/>
      <c r="Q205" s="21"/>
      <c r="R205" s="21"/>
      <c r="S205" s="21"/>
      <c r="T205" s="95"/>
    </row>
    <row r="206" ht="15.75" customHeight="1">
      <c r="A206" s="95"/>
      <c r="B206" s="95"/>
      <c r="C206" s="95"/>
      <c r="D206" s="95"/>
      <c r="E206" s="95"/>
      <c r="F206" s="95"/>
      <c r="G206" s="95"/>
      <c r="H206" s="95"/>
      <c r="I206" s="95"/>
      <c r="J206" s="95"/>
      <c r="K206" s="95"/>
      <c r="L206" s="95"/>
      <c r="M206" s="95"/>
      <c r="N206" s="95"/>
      <c r="O206" s="21"/>
      <c r="P206" s="21"/>
      <c r="Q206" s="21"/>
      <c r="R206" s="21"/>
      <c r="S206" s="21"/>
      <c r="T206" s="95"/>
    </row>
    <row r="207" ht="15.75" customHeight="1">
      <c r="A207" s="95"/>
      <c r="B207" s="95"/>
      <c r="C207" s="95"/>
      <c r="D207" s="95"/>
      <c r="E207" s="95"/>
      <c r="F207" s="95"/>
      <c r="G207" s="95"/>
      <c r="H207" s="95"/>
      <c r="I207" s="95"/>
      <c r="J207" s="95"/>
      <c r="K207" s="95"/>
      <c r="L207" s="95"/>
      <c r="M207" s="95"/>
      <c r="N207" s="95"/>
      <c r="O207" s="21"/>
      <c r="P207" s="21"/>
      <c r="Q207" s="21"/>
      <c r="R207" s="21"/>
      <c r="S207" s="21"/>
      <c r="T207" s="95"/>
    </row>
    <row r="208" ht="15.75" customHeight="1">
      <c r="A208" s="95"/>
      <c r="B208" s="95"/>
      <c r="C208" s="95"/>
      <c r="D208" s="95"/>
      <c r="E208" s="95"/>
      <c r="F208" s="95"/>
      <c r="G208" s="95"/>
      <c r="H208" s="95"/>
      <c r="I208" s="95"/>
      <c r="J208" s="95"/>
      <c r="K208" s="95"/>
      <c r="L208" s="95"/>
      <c r="M208" s="95"/>
      <c r="N208" s="95"/>
      <c r="O208" s="21"/>
      <c r="P208" s="21"/>
      <c r="Q208" s="21"/>
      <c r="R208" s="21"/>
      <c r="S208" s="21"/>
      <c r="T208" s="95"/>
    </row>
    <row r="209" ht="15.75" customHeight="1">
      <c r="A209" s="95"/>
      <c r="B209" s="95"/>
      <c r="C209" s="95"/>
      <c r="D209" s="95"/>
      <c r="E209" s="95"/>
      <c r="F209" s="95"/>
      <c r="G209" s="95"/>
      <c r="H209" s="95"/>
      <c r="I209" s="95"/>
      <c r="J209" s="95"/>
      <c r="K209" s="95"/>
      <c r="L209" s="95"/>
      <c r="M209" s="95"/>
      <c r="N209" s="95"/>
      <c r="O209" s="21"/>
      <c r="P209" s="21"/>
      <c r="Q209" s="21"/>
      <c r="R209" s="21"/>
      <c r="S209" s="21"/>
      <c r="T209" s="95"/>
    </row>
    <row r="210" ht="15.75" customHeight="1">
      <c r="A210" s="95"/>
      <c r="B210" s="95"/>
      <c r="C210" s="95"/>
      <c r="D210" s="95"/>
      <c r="E210" s="95"/>
      <c r="F210" s="95"/>
      <c r="G210" s="95"/>
      <c r="H210" s="95"/>
      <c r="I210" s="95"/>
      <c r="J210" s="95"/>
      <c r="K210" s="95"/>
      <c r="L210" s="95"/>
      <c r="M210" s="95"/>
      <c r="N210" s="95"/>
      <c r="O210" s="21"/>
      <c r="P210" s="21"/>
      <c r="Q210" s="21"/>
      <c r="R210" s="21"/>
      <c r="S210" s="21"/>
      <c r="T210" s="95"/>
    </row>
    <row r="211" ht="15.75" customHeight="1">
      <c r="A211" s="95"/>
      <c r="B211" s="95"/>
      <c r="C211" s="95"/>
      <c r="D211" s="95"/>
      <c r="E211" s="95"/>
      <c r="F211" s="95"/>
      <c r="G211" s="95"/>
      <c r="H211" s="95"/>
      <c r="I211" s="95"/>
      <c r="J211" s="95"/>
      <c r="K211" s="95"/>
      <c r="L211" s="95"/>
      <c r="M211" s="95"/>
      <c r="N211" s="95"/>
      <c r="O211" s="21"/>
      <c r="P211" s="21"/>
      <c r="Q211" s="21"/>
      <c r="R211" s="21"/>
      <c r="S211" s="21"/>
      <c r="T211" s="95"/>
    </row>
    <row r="212" ht="15.75" customHeight="1">
      <c r="A212" s="95"/>
      <c r="B212" s="95"/>
      <c r="C212" s="95"/>
      <c r="D212" s="95"/>
      <c r="E212" s="95"/>
      <c r="F212" s="95"/>
      <c r="G212" s="95"/>
      <c r="H212" s="95"/>
      <c r="I212" s="95"/>
      <c r="J212" s="95"/>
      <c r="K212" s="95"/>
      <c r="L212" s="95"/>
      <c r="M212" s="95"/>
      <c r="N212" s="95"/>
      <c r="O212" s="21"/>
      <c r="P212" s="21"/>
      <c r="Q212" s="21"/>
      <c r="R212" s="21"/>
      <c r="S212" s="21"/>
      <c r="T212" s="95"/>
    </row>
    <row r="213" ht="15.75" customHeight="1">
      <c r="A213" s="95"/>
      <c r="B213" s="95"/>
      <c r="C213" s="95"/>
      <c r="D213" s="95"/>
      <c r="E213" s="95"/>
      <c r="F213" s="95"/>
      <c r="G213" s="95"/>
      <c r="H213" s="95"/>
      <c r="I213" s="95"/>
      <c r="J213" s="95"/>
      <c r="K213" s="95"/>
      <c r="L213" s="95"/>
      <c r="M213" s="95"/>
      <c r="N213" s="95"/>
      <c r="O213" s="21"/>
      <c r="P213" s="21"/>
      <c r="Q213" s="21"/>
      <c r="R213" s="21"/>
      <c r="S213" s="21"/>
      <c r="T213" s="95"/>
    </row>
    <row r="214" ht="15.75" customHeight="1">
      <c r="A214" s="95"/>
      <c r="B214" s="95"/>
      <c r="C214" s="95"/>
      <c r="D214" s="95"/>
      <c r="E214" s="95"/>
      <c r="F214" s="95"/>
      <c r="G214" s="95"/>
      <c r="H214" s="95"/>
      <c r="I214" s="95"/>
      <c r="J214" s="95"/>
      <c r="K214" s="95"/>
      <c r="L214" s="95"/>
      <c r="M214" s="95"/>
      <c r="N214" s="95"/>
      <c r="O214" s="21"/>
      <c r="P214" s="21"/>
      <c r="Q214" s="21"/>
      <c r="R214" s="21"/>
      <c r="S214" s="21"/>
      <c r="T214" s="95"/>
    </row>
    <row r="215" ht="15.75" customHeight="1">
      <c r="A215" s="95"/>
      <c r="B215" s="95"/>
      <c r="C215" s="95"/>
      <c r="D215" s="95"/>
      <c r="E215" s="95"/>
      <c r="F215" s="95"/>
      <c r="G215" s="95"/>
      <c r="H215" s="95"/>
      <c r="I215" s="95"/>
      <c r="J215" s="95"/>
      <c r="K215" s="95"/>
      <c r="L215" s="95"/>
      <c r="M215" s="95"/>
      <c r="N215" s="95"/>
      <c r="O215" s="21"/>
      <c r="P215" s="21"/>
      <c r="Q215" s="21"/>
      <c r="R215" s="21"/>
      <c r="S215" s="21"/>
      <c r="T215" s="95"/>
    </row>
    <row r="216" ht="15.75" customHeight="1">
      <c r="A216" s="95"/>
      <c r="B216" s="95"/>
      <c r="C216" s="95"/>
      <c r="D216" s="95"/>
      <c r="E216" s="95"/>
      <c r="F216" s="95"/>
      <c r="G216" s="95"/>
      <c r="H216" s="95"/>
      <c r="I216" s="95"/>
      <c r="J216" s="95"/>
      <c r="K216" s="95"/>
      <c r="L216" s="95"/>
      <c r="M216" s="95"/>
      <c r="N216" s="95"/>
      <c r="O216" s="21"/>
      <c r="P216" s="21"/>
      <c r="Q216" s="21"/>
      <c r="R216" s="21"/>
      <c r="S216" s="21"/>
      <c r="T216" s="95"/>
    </row>
    <row r="217" ht="15.75" customHeight="1">
      <c r="O217" s="248"/>
      <c r="P217" s="248"/>
      <c r="Q217" s="248"/>
      <c r="R217" s="248"/>
      <c r="S217" s="248"/>
    </row>
    <row r="218" ht="15.75" customHeight="1">
      <c r="O218" s="248"/>
      <c r="P218" s="248"/>
      <c r="Q218" s="248"/>
      <c r="R218" s="248"/>
      <c r="S218" s="248"/>
    </row>
    <row r="219" ht="15.75" customHeight="1">
      <c r="O219" s="248"/>
      <c r="P219" s="248"/>
      <c r="Q219" s="248"/>
      <c r="R219" s="248"/>
      <c r="S219" s="248"/>
    </row>
    <row r="220" ht="15.75" customHeight="1">
      <c r="O220" s="248"/>
      <c r="P220" s="248"/>
      <c r="Q220" s="248"/>
      <c r="R220" s="248"/>
      <c r="S220" s="248"/>
    </row>
    <row r="221" ht="15.75" customHeight="1">
      <c r="O221" s="248"/>
      <c r="P221" s="248"/>
      <c r="Q221" s="248"/>
      <c r="R221" s="248"/>
      <c r="S221" s="248"/>
    </row>
    <row r="222" ht="15.75" customHeight="1">
      <c r="O222" s="248"/>
      <c r="P222" s="248"/>
      <c r="Q222" s="248"/>
      <c r="R222" s="248"/>
      <c r="S222" s="248"/>
    </row>
    <row r="223" ht="15.75" customHeight="1">
      <c r="O223" s="248"/>
      <c r="P223" s="248"/>
      <c r="Q223" s="248"/>
      <c r="R223" s="248"/>
      <c r="S223" s="248"/>
    </row>
    <row r="224" ht="15.75" customHeight="1">
      <c r="O224" s="248"/>
      <c r="P224" s="248"/>
      <c r="Q224" s="248"/>
      <c r="R224" s="248"/>
      <c r="S224" s="248"/>
    </row>
    <row r="225" ht="15.75" customHeight="1">
      <c r="O225" s="248"/>
      <c r="P225" s="248"/>
      <c r="Q225" s="248"/>
      <c r="R225" s="248"/>
      <c r="S225" s="248"/>
    </row>
    <row r="226" ht="15.75" customHeight="1">
      <c r="O226" s="248"/>
      <c r="P226" s="248"/>
      <c r="Q226" s="248"/>
      <c r="R226" s="248"/>
      <c r="S226" s="248"/>
    </row>
    <row r="227" ht="15.75" customHeight="1">
      <c r="O227" s="248"/>
      <c r="P227" s="248"/>
      <c r="Q227" s="248"/>
      <c r="R227" s="248"/>
      <c r="S227" s="248"/>
    </row>
    <row r="228" ht="15.75" customHeight="1">
      <c r="O228" s="248"/>
      <c r="P228" s="248"/>
      <c r="Q228" s="248"/>
      <c r="R228" s="248"/>
      <c r="S228" s="248"/>
    </row>
    <row r="229" ht="15.75" customHeight="1">
      <c r="O229" s="248"/>
      <c r="P229" s="248"/>
      <c r="Q229" s="248"/>
      <c r="R229" s="248"/>
      <c r="S229" s="248"/>
    </row>
    <row r="230" ht="15.75" customHeight="1">
      <c r="O230" s="248"/>
      <c r="P230" s="248"/>
      <c r="Q230" s="248"/>
      <c r="R230" s="248"/>
      <c r="S230" s="248"/>
    </row>
    <row r="231" ht="15.75" customHeight="1">
      <c r="O231" s="248"/>
      <c r="P231" s="248"/>
      <c r="Q231" s="248"/>
      <c r="R231" s="248"/>
      <c r="S231" s="248"/>
    </row>
    <row r="232" ht="15.75" customHeight="1">
      <c r="O232" s="248"/>
      <c r="P232" s="248"/>
      <c r="Q232" s="248"/>
      <c r="R232" s="248"/>
      <c r="S232" s="248"/>
    </row>
    <row r="233" ht="15.75" customHeight="1">
      <c r="O233" s="248"/>
      <c r="P233" s="248"/>
      <c r="Q233" s="248"/>
      <c r="R233" s="248"/>
      <c r="S233" s="248"/>
    </row>
    <row r="234" ht="15.75" customHeight="1">
      <c r="O234" s="248"/>
      <c r="P234" s="248"/>
      <c r="Q234" s="248"/>
      <c r="R234" s="248"/>
      <c r="S234" s="248"/>
    </row>
    <row r="235" ht="15.75" customHeight="1">
      <c r="O235" s="248"/>
      <c r="P235" s="248"/>
      <c r="Q235" s="248"/>
      <c r="R235" s="248"/>
      <c r="S235" s="248"/>
    </row>
    <row r="236" ht="15.75" customHeight="1">
      <c r="O236" s="248"/>
      <c r="P236" s="248"/>
      <c r="Q236" s="248"/>
      <c r="R236" s="248"/>
      <c r="S236" s="248"/>
    </row>
    <row r="237" ht="15.75" customHeight="1">
      <c r="O237" s="248"/>
      <c r="P237" s="248"/>
      <c r="Q237" s="248"/>
      <c r="R237" s="248"/>
      <c r="S237" s="248"/>
    </row>
    <row r="238" ht="15.75" customHeight="1">
      <c r="O238" s="248"/>
      <c r="P238" s="248"/>
      <c r="Q238" s="248"/>
      <c r="R238" s="248"/>
      <c r="S238" s="248"/>
    </row>
    <row r="239" ht="15.75" customHeight="1">
      <c r="O239" s="248"/>
      <c r="P239" s="248"/>
      <c r="Q239" s="248"/>
      <c r="R239" s="248"/>
      <c r="S239" s="248"/>
    </row>
    <row r="240" ht="15.75" customHeight="1">
      <c r="O240" s="248"/>
      <c r="P240" s="248"/>
      <c r="Q240" s="248"/>
      <c r="R240" s="248"/>
      <c r="S240" s="248"/>
    </row>
    <row r="241" ht="15.75" customHeight="1">
      <c r="O241" s="248"/>
      <c r="P241" s="248"/>
      <c r="Q241" s="248"/>
      <c r="R241" s="248"/>
      <c r="S241" s="248"/>
    </row>
    <row r="242" ht="15.75" customHeight="1">
      <c r="O242" s="248"/>
      <c r="P242" s="248"/>
      <c r="Q242" s="248"/>
      <c r="R242" s="248"/>
      <c r="S242" s="248"/>
    </row>
    <row r="243" ht="15.75" customHeight="1">
      <c r="O243" s="248"/>
      <c r="P243" s="248"/>
      <c r="Q243" s="248"/>
      <c r="R243" s="248"/>
      <c r="S243" s="248"/>
    </row>
    <row r="244" ht="15.75" customHeight="1">
      <c r="O244" s="248"/>
      <c r="P244" s="248"/>
      <c r="Q244" s="248"/>
      <c r="R244" s="248"/>
      <c r="S244" s="248"/>
    </row>
    <row r="245" ht="15.75" customHeight="1">
      <c r="O245" s="248"/>
      <c r="P245" s="248"/>
      <c r="Q245" s="248"/>
      <c r="R245" s="248"/>
      <c r="S245" s="248"/>
    </row>
    <row r="246" ht="15.75" customHeight="1">
      <c r="O246" s="248"/>
      <c r="P246" s="248"/>
      <c r="Q246" s="248"/>
      <c r="R246" s="248"/>
      <c r="S246" s="248"/>
    </row>
    <row r="247" ht="15.75" customHeight="1">
      <c r="O247" s="248"/>
      <c r="P247" s="248"/>
      <c r="Q247" s="248"/>
      <c r="R247" s="248"/>
      <c r="S247" s="248"/>
    </row>
    <row r="248" ht="15.75" customHeight="1">
      <c r="O248" s="248"/>
      <c r="P248" s="248"/>
      <c r="Q248" s="248"/>
      <c r="R248" s="248"/>
      <c r="S248" s="248"/>
    </row>
    <row r="249" ht="15.75" customHeight="1">
      <c r="O249" s="248"/>
      <c r="P249" s="248"/>
      <c r="Q249" s="248"/>
      <c r="R249" s="248"/>
      <c r="S249" s="248"/>
    </row>
    <row r="250" ht="15.75" customHeight="1">
      <c r="O250" s="248"/>
      <c r="P250" s="248"/>
      <c r="Q250" s="248"/>
      <c r="R250" s="248"/>
      <c r="S250" s="248"/>
    </row>
    <row r="251" ht="15.75" customHeight="1">
      <c r="O251" s="248"/>
      <c r="P251" s="248"/>
      <c r="Q251" s="248"/>
      <c r="R251" s="248"/>
      <c r="S251" s="248"/>
    </row>
    <row r="252" ht="15.75" customHeight="1">
      <c r="O252" s="248"/>
      <c r="P252" s="248"/>
      <c r="Q252" s="248"/>
      <c r="R252" s="248"/>
      <c r="S252" s="248"/>
    </row>
    <row r="253" ht="15.75" customHeight="1">
      <c r="O253" s="248"/>
      <c r="P253" s="248"/>
      <c r="Q253" s="248"/>
      <c r="R253" s="248"/>
      <c r="S253" s="248"/>
    </row>
    <row r="254" ht="15.75" customHeight="1">
      <c r="O254" s="248"/>
      <c r="P254" s="248"/>
      <c r="Q254" s="248"/>
      <c r="R254" s="248"/>
      <c r="S254" s="248"/>
    </row>
    <row r="255" ht="15.75" customHeight="1">
      <c r="O255" s="248"/>
      <c r="P255" s="248"/>
      <c r="Q255" s="248"/>
      <c r="R255" s="248"/>
      <c r="S255" s="248"/>
    </row>
    <row r="256" ht="15.75" customHeight="1">
      <c r="O256" s="248"/>
      <c r="P256" s="248"/>
      <c r="Q256" s="248"/>
      <c r="R256" s="248"/>
      <c r="S256" s="248"/>
    </row>
    <row r="257" ht="15.75" customHeight="1">
      <c r="O257" s="248"/>
      <c r="P257" s="248"/>
      <c r="Q257" s="248"/>
      <c r="R257" s="248"/>
      <c r="S257" s="248"/>
    </row>
    <row r="258" ht="15.75" customHeight="1">
      <c r="O258" s="248"/>
      <c r="P258" s="248"/>
      <c r="Q258" s="248"/>
      <c r="R258" s="248"/>
      <c r="S258" s="248"/>
    </row>
    <row r="259" ht="15.75" customHeight="1">
      <c r="O259" s="248"/>
      <c r="P259" s="248"/>
      <c r="Q259" s="248"/>
      <c r="R259" s="248"/>
      <c r="S259" s="248"/>
    </row>
    <row r="260" ht="15.75" customHeight="1">
      <c r="O260" s="248"/>
      <c r="P260" s="248"/>
      <c r="Q260" s="248"/>
      <c r="R260" s="248"/>
      <c r="S260" s="248"/>
    </row>
    <row r="261" ht="15.75" customHeight="1">
      <c r="O261" s="248"/>
      <c r="P261" s="248"/>
      <c r="Q261" s="248"/>
      <c r="R261" s="248"/>
      <c r="S261" s="248"/>
    </row>
    <row r="262" ht="15.75" customHeight="1">
      <c r="O262" s="248"/>
      <c r="P262" s="248"/>
      <c r="Q262" s="248"/>
      <c r="R262" s="248"/>
      <c r="S262" s="248"/>
    </row>
    <row r="263" ht="15.75" customHeight="1">
      <c r="O263" s="248"/>
      <c r="P263" s="248"/>
      <c r="Q263" s="248"/>
      <c r="R263" s="248"/>
      <c r="S263" s="248"/>
    </row>
    <row r="264" ht="15.75" customHeight="1">
      <c r="O264" s="248"/>
      <c r="P264" s="248"/>
      <c r="Q264" s="248"/>
      <c r="R264" s="248"/>
      <c r="S264" s="248"/>
    </row>
    <row r="265" ht="15.75" customHeight="1">
      <c r="O265" s="248"/>
      <c r="P265" s="248"/>
      <c r="Q265" s="248"/>
      <c r="R265" s="248"/>
      <c r="S265" s="248"/>
    </row>
    <row r="266" ht="15.75" customHeight="1">
      <c r="O266" s="248"/>
      <c r="P266" s="248"/>
      <c r="Q266" s="248"/>
      <c r="R266" s="248"/>
      <c r="S266" s="248"/>
    </row>
    <row r="267" ht="15.75" customHeight="1">
      <c r="O267" s="248"/>
      <c r="P267" s="248"/>
      <c r="Q267" s="248"/>
      <c r="R267" s="248"/>
      <c r="S267" s="248"/>
    </row>
    <row r="268" ht="15.75" customHeight="1">
      <c r="O268" s="248"/>
      <c r="P268" s="248"/>
      <c r="Q268" s="248"/>
      <c r="R268" s="248"/>
      <c r="S268" s="248"/>
    </row>
    <row r="269" ht="15.75" customHeight="1">
      <c r="O269" s="248"/>
      <c r="P269" s="248"/>
      <c r="Q269" s="248"/>
      <c r="R269" s="248"/>
      <c r="S269" s="248"/>
    </row>
    <row r="270" ht="15.75" customHeight="1">
      <c r="O270" s="248"/>
      <c r="P270" s="248"/>
      <c r="Q270" s="248"/>
      <c r="R270" s="248"/>
      <c r="S270" s="248"/>
    </row>
    <row r="271" ht="15.75" customHeight="1">
      <c r="O271" s="248"/>
      <c r="P271" s="248"/>
      <c r="Q271" s="248"/>
      <c r="R271" s="248"/>
      <c r="S271" s="248"/>
    </row>
    <row r="272" ht="15.75" customHeight="1">
      <c r="O272" s="248"/>
      <c r="P272" s="248"/>
      <c r="Q272" s="248"/>
      <c r="R272" s="248"/>
      <c r="S272" s="248"/>
    </row>
    <row r="273" ht="15.75" customHeight="1">
      <c r="O273" s="248"/>
      <c r="P273" s="248"/>
      <c r="Q273" s="248"/>
      <c r="R273" s="248"/>
      <c r="S273" s="248"/>
    </row>
    <row r="274" ht="15.75" customHeight="1">
      <c r="O274" s="248"/>
      <c r="P274" s="248"/>
      <c r="Q274" s="248"/>
      <c r="R274" s="248"/>
      <c r="S274" s="248"/>
    </row>
    <row r="275" ht="15.75" customHeight="1">
      <c r="O275" s="248"/>
      <c r="P275" s="248"/>
      <c r="Q275" s="248"/>
      <c r="R275" s="248"/>
      <c r="S275" s="248"/>
    </row>
    <row r="276" ht="15.75" customHeight="1">
      <c r="O276" s="248"/>
      <c r="P276" s="248"/>
      <c r="Q276" s="248"/>
      <c r="R276" s="248"/>
      <c r="S276" s="248"/>
    </row>
    <row r="277" ht="15.75" customHeight="1">
      <c r="O277" s="248"/>
      <c r="P277" s="248"/>
      <c r="Q277" s="248"/>
      <c r="R277" s="248"/>
      <c r="S277" s="248"/>
    </row>
    <row r="278" ht="15.75" customHeight="1">
      <c r="O278" s="248"/>
      <c r="P278" s="248"/>
      <c r="Q278" s="248"/>
      <c r="R278" s="248"/>
      <c r="S278" s="248"/>
    </row>
    <row r="279" ht="15.75" customHeight="1">
      <c r="O279" s="248"/>
      <c r="P279" s="248"/>
      <c r="Q279" s="248"/>
      <c r="R279" s="248"/>
      <c r="S279" s="248"/>
    </row>
    <row r="280" ht="15.75" customHeight="1">
      <c r="O280" s="248"/>
      <c r="P280" s="248"/>
      <c r="Q280" s="248"/>
      <c r="R280" s="248"/>
      <c r="S280" s="248"/>
    </row>
    <row r="281" ht="15.75" customHeight="1">
      <c r="O281" s="248"/>
      <c r="P281" s="248"/>
      <c r="Q281" s="248"/>
      <c r="R281" s="248"/>
      <c r="S281" s="248"/>
    </row>
    <row r="282" ht="15.75" customHeight="1">
      <c r="O282" s="248"/>
      <c r="P282" s="248"/>
      <c r="Q282" s="248"/>
      <c r="R282" s="248"/>
      <c r="S282" s="248"/>
    </row>
    <row r="283" ht="15.75" customHeight="1">
      <c r="O283" s="248"/>
      <c r="P283" s="248"/>
      <c r="Q283" s="248"/>
      <c r="R283" s="248"/>
      <c r="S283" s="248"/>
    </row>
    <row r="284" ht="15.75" customHeight="1">
      <c r="O284" s="248"/>
      <c r="P284" s="248"/>
      <c r="Q284" s="248"/>
      <c r="R284" s="248"/>
      <c r="S284" s="248"/>
    </row>
    <row r="285" ht="15.75" customHeight="1">
      <c r="O285" s="248"/>
      <c r="P285" s="248"/>
      <c r="Q285" s="248"/>
      <c r="R285" s="248"/>
      <c r="S285" s="248"/>
    </row>
    <row r="286" ht="15.75" customHeight="1">
      <c r="O286" s="248"/>
      <c r="P286" s="248"/>
      <c r="Q286" s="248"/>
      <c r="R286" s="248"/>
      <c r="S286" s="248"/>
    </row>
    <row r="287" ht="15.75" customHeight="1">
      <c r="O287" s="248"/>
      <c r="P287" s="248"/>
      <c r="Q287" s="248"/>
      <c r="R287" s="248"/>
      <c r="S287" s="248"/>
    </row>
    <row r="288" ht="15.75" customHeight="1">
      <c r="O288" s="248"/>
      <c r="P288" s="248"/>
      <c r="Q288" s="248"/>
      <c r="R288" s="248"/>
      <c r="S288" s="248"/>
    </row>
    <row r="289" ht="15.75" customHeight="1">
      <c r="O289" s="248"/>
      <c r="P289" s="248"/>
      <c r="Q289" s="248"/>
      <c r="R289" s="248"/>
      <c r="S289" s="248"/>
    </row>
    <row r="290" ht="15.75" customHeight="1">
      <c r="O290" s="248"/>
      <c r="P290" s="248"/>
      <c r="Q290" s="248"/>
      <c r="R290" s="248"/>
      <c r="S290" s="248"/>
    </row>
    <row r="291" ht="15.75" customHeight="1">
      <c r="O291" s="248"/>
      <c r="P291" s="248"/>
      <c r="Q291" s="248"/>
      <c r="R291" s="248"/>
      <c r="S291" s="248"/>
    </row>
    <row r="292" ht="15.75" customHeight="1">
      <c r="O292" s="248"/>
      <c r="P292" s="248"/>
      <c r="Q292" s="248"/>
      <c r="R292" s="248"/>
      <c r="S292" s="248"/>
    </row>
    <row r="293" ht="15.75" customHeight="1">
      <c r="O293" s="248"/>
      <c r="P293" s="248"/>
      <c r="Q293" s="248"/>
      <c r="R293" s="248"/>
      <c r="S293" s="248"/>
    </row>
    <row r="294" ht="15.75" customHeight="1">
      <c r="O294" s="248"/>
      <c r="P294" s="248"/>
      <c r="Q294" s="248"/>
      <c r="R294" s="248"/>
      <c r="S294" s="248"/>
    </row>
    <row r="295" ht="15.75" customHeight="1">
      <c r="O295" s="248"/>
      <c r="P295" s="248"/>
      <c r="Q295" s="248"/>
      <c r="R295" s="248"/>
      <c r="S295" s="248"/>
    </row>
    <row r="296" ht="15.75" customHeight="1">
      <c r="O296" s="248"/>
      <c r="P296" s="248"/>
      <c r="Q296" s="248"/>
      <c r="R296" s="248"/>
      <c r="S296" s="248"/>
    </row>
    <row r="297" ht="15.75" customHeight="1">
      <c r="O297" s="248"/>
      <c r="P297" s="248"/>
      <c r="Q297" s="248"/>
      <c r="R297" s="248"/>
      <c r="S297" s="248"/>
    </row>
    <row r="298" ht="15.75" customHeight="1">
      <c r="O298" s="248"/>
      <c r="P298" s="248"/>
      <c r="Q298" s="248"/>
      <c r="R298" s="248"/>
      <c r="S298" s="248"/>
    </row>
    <row r="299" ht="15.75" customHeight="1">
      <c r="O299" s="248"/>
      <c r="P299" s="248"/>
      <c r="Q299" s="248"/>
      <c r="R299" s="248"/>
      <c r="S299" s="248"/>
    </row>
    <row r="300" ht="15.75" customHeight="1">
      <c r="O300" s="248"/>
      <c r="P300" s="248"/>
      <c r="Q300" s="248"/>
      <c r="R300" s="248"/>
      <c r="S300" s="248"/>
    </row>
    <row r="301" ht="15.75" customHeight="1">
      <c r="O301" s="248"/>
      <c r="P301" s="248"/>
      <c r="Q301" s="248"/>
      <c r="R301" s="248"/>
      <c r="S301" s="248"/>
    </row>
    <row r="302" ht="15.75" customHeight="1">
      <c r="O302" s="248"/>
      <c r="P302" s="248"/>
      <c r="Q302" s="248"/>
      <c r="R302" s="248"/>
      <c r="S302" s="248"/>
    </row>
    <row r="303" ht="15.75" customHeight="1">
      <c r="O303" s="248"/>
      <c r="P303" s="248"/>
      <c r="Q303" s="248"/>
      <c r="R303" s="248"/>
      <c r="S303" s="248"/>
    </row>
    <row r="304" ht="15.75" customHeight="1">
      <c r="O304" s="248"/>
      <c r="P304" s="248"/>
      <c r="Q304" s="248"/>
      <c r="R304" s="248"/>
      <c r="S304" s="248"/>
    </row>
    <row r="305" ht="15.75" customHeight="1">
      <c r="O305" s="248"/>
      <c r="P305" s="248"/>
      <c r="Q305" s="248"/>
      <c r="R305" s="248"/>
      <c r="S305" s="248"/>
    </row>
    <row r="306" ht="15.75" customHeight="1">
      <c r="O306" s="248"/>
      <c r="P306" s="248"/>
      <c r="Q306" s="248"/>
      <c r="R306" s="248"/>
      <c r="S306" s="248"/>
    </row>
    <row r="307" ht="15.75" customHeight="1">
      <c r="O307" s="248"/>
      <c r="P307" s="248"/>
      <c r="Q307" s="248"/>
      <c r="R307" s="248"/>
      <c r="S307" s="248"/>
    </row>
    <row r="308" ht="15.75" customHeight="1">
      <c r="O308" s="248"/>
      <c r="P308" s="248"/>
      <c r="Q308" s="248"/>
      <c r="R308" s="248"/>
      <c r="S308" s="248"/>
    </row>
    <row r="309" ht="15.75" customHeight="1">
      <c r="O309" s="248"/>
      <c r="P309" s="248"/>
      <c r="Q309" s="248"/>
      <c r="R309" s="248"/>
      <c r="S309" s="248"/>
    </row>
    <row r="310" ht="15.75" customHeight="1">
      <c r="O310" s="248"/>
      <c r="P310" s="248"/>
      <c r="Q310" s="248"/>
      <c r="R310" s="248"/>
      <c r="S310" s="248"/>
    </row>
    <row r="311" ht="15.75" customHeight="1">
      <c r="O311" s="248"/>
      <c r="P311" s="248"/>
      <c r="Q311" s="248"/>
      <c r="R311" s="248"/>
      <c r="S311" s="248"/>
    </row>
    <row r="312" ht="15.75" customHeight="1">
      <c r="O312" s="248"/>
      <c r="P312" s="248"/>
      <c r="Q312" s="248"/>
      <c r="R312" s="248"/>
      <c r="S312" s="248"/>
    </row>
    <row r="313" ht="15.75" customHeight="1">
      <c r="O313" s="248"/>
      <c r="P313" s="248"/>
      <c r="Q313" s="248"/>
      <c r="R313" s="248"/>
      <c r="S313" s="248"/>
    </row>
    <row r="314" ht="15.75" customHeight="1">
      <c r="O314" s="248"/>
      <c r="P314" s="248"/>
      <c r="Q314" s="248"/>
      <c r="R314" s="248"/>
      <c r="S314" s="248"/>
    </row>
    <row r="315" ht="15.75" customHeight="1">
      <c r="O315" s="248"/>
      <c r="P315" s="248"/>
      <c r="Q315" s="248"/>
      <c r="R315" s="248"/>
      <c r="S315" s="248"/>
    </row>
    <row r="316" ht="15.75" customHeight="1">
      <c r="O316" s="248"/>
      <c r="P316" s="248"/>
      <c r="Q316" s="248"/>
      <c r="R316" s="248"/>
      <c r="S316" s="248"/>
    </row>
    <row r="317" ht="15.75" customHeight="1">
      <c r="O317" s="248"/>
      <c r="P317" s="248"/>
      <c r="Q317" s="248"/>
      <c r="R317" s="248"/>
      <c r="S317" s="248"/>
    </row>
    <row r="318" ht="15.75" customHeight="1">
      <c r="O318" s="248"/>
      <c r="P318" s="248"/>
      <c r="Q318" s="248"/>
      <c r="R318" s="248"/>
      <c r="S318" s="248"/>
    </row>
    <row r="319" ht="15.75" customHeight="1">
      <c r="O319" s="248"/>
      <c r="P319" s="248"/>
      <c r="Q319" s="248"/>
      <c r="R319" s="248"/>
      <c r="S319" s="248"/>
    </row>
    <row r="320" ht="15.75" customHeight="1">
      <c r="O320" s="248"/>
      <c r="P320" s="248"/>
      <c r="Q320" s="248"/>
      <c r="R320" s="248"/>
      <c r="S320" s="248"/>
    </row>
    <row r="321" ht="15.75" customHeight="1">
      <c r="O321" s="248"/>
      <c r="P321" s="248"/>
      <c r="Q321" s="248"/>
      <c r="R321" s="248"/>
      <c r="S321" s="248"/>
    </row>
    <row r="322" ht="15.75" customHeight="1">
      <c r="O322" s="248"/>
      <c r="P322" s="248"/>
      <c r="Q322" s="248"/>
      <c r="R322" s="248"/>
      <c r="S322" s="248"/>
    </row>
    <row r="323" ht="15.75" customHeight="1">
      <c r="O323" s="248"/>
      <c r="P323" s="248"/>
      <c r="Q323" s="248"/>
      <c r="R323" s="248"/>
      <c r="S323" s="248"/>
    </row>
    <row r="324" ht="15.75" customHeight="1">
      <c r="O324" s="248"/>
      <c r="P324" s="248"/>
      <c r="Q324" s="248"/>
      <c r="R324" s="248"/>
      <c r="S324" s="248"/>
    </row>
    <row r="325" ht="15.75" customHeight="1">
      <c r="O325" s="248"/>
      <c r="P325" s="248"/>
      <c r="Q325" s="248"/>
      <c r="R325" s="248"/>
      <c r="S325" s="248"/>
    </row>
    <row r="326" ht="15.75" customHeight="1">
      <c r="O326" s="248"/>
      <c r="P326" s="248"/>
      <c r="Q326" s="248"/>
      <c r="R326" s="248"/>
      <c r="S326" s="248"/>
    </row>
    <row r="327" ht="15.75" customHeight="1">
      <c r="O327" s="248"/>
      <c r="P327" s="248"/>
      <c r="Q327" s="248"/>
      <c r="R327" s="248"/>
      <c r="S327" s="248"/>
    </row>
    <row r="328" ht="15.75" customHeight="1">
      <c r="O328" s="248"/>
      <c r="P328" s="248"/>
      <c r="Q328" s="248"/>
      <c r="R328" s="248"/>
      <c r="S328" s="248"/>
    </row>
    <row r="329" ht="15.75" customHeight="1">
      <c r="O329" s="248"/>
      <c r="P329" s="248"/>
      <c r="Q329" s="248"/>
      <c r="R329" s="248"/>
      <c r="S329" s="248"/>
    </row>
    <row r="330" ht="15.75" customHeight="1">
      <c r="O330" s="248"/>
      <c r="P330" s="248"/>
      <c r="Q330" s="248"/>
      <c r="R330" s="248"/>
      <c r="S330" s="248"/>
    </row>
    <row r="331" ht="15.75" customHeight="1">
      <c r="O331" s="248"/>
      <c r="P331" s="248"/>
      <c r="Q331" s="248"/>
      <c r="R331" s="248"/>
      <c r="S331" s="248"/>
    </row>
    <row r="332" ht="15.75" customHeight="1">
      <c r="O332" s="248"/>
      <c r="P332" s="248"/>
      <c r="Q332" s="248"/>
      <c r="R332" s="248"/>
      <c r="S332" s="248"/>
    </row>
    <row r="333" ht="15.75" customHeight="1">
      <c r="O333" s="248"/>
      <c r="P333" s="248"/>
      <c r="Q333" s="248"/>
      <c r="R333" s="248"/>
      <c r="S333" s="248"/>
    </row>
    <row r="334" ht="15.75" customHeight="1">
      <c r="O334" s="248"/>
      <c r="P334" s="248"/>
      <c r="Q334" s="248"/>
      <c r="R334" s="248"/>
      <c r="S334" s="248"/>
    </row>
    <row r="335" ht="15.75" customHeight="1">
      <c r="O335" s="248"/>
      <c r="P335" s="248"/>
      <c r="Q335" s="248"/>
      <c r="R335" s="248"/>
      <c r="S335" s="248"/>
    </row>
    <row r="336" ht="15.75" customHeight="1">
      <c r="O336" s="248"/>
      <c r="P336" s="248"/>
      <c r="Q336" s="248"/>
      <c r="R336" s="248"/>
      <c r="S336" s="248"/>
    </row>
    <row r="337" ht="15.75" customHeight="1">
      <c r="O337" s="248"/>
      <c r="P337" s="248"/>
      <c r="Q337" s="248"/>
      <c r="R337" s="248"/>
      <c r="S337" s="248"/>
    </row>
    <row r="338" ht="15.75" customHeight="1">
      <c r="O338" s="248"/>
      <c r="P338" s="248"/>
      <c r="Q338" s="248"/>
      <c r="R338" s="248"/>
      <c r="S338" s="248"/>
    </row>
    <row r="339" ht="15.75" customHeight="1">
      <c r="O339" s="248"/>
      <c r="P339" s="248"/>
      <c r="Q339" s="248"/>
      <c r="R339" s="248"/>
      <c r="S339" s="248"/>
    </row>
    <row r="340" ht="15.75" customHeight="1">
      <c r="O340" s="248"/>
      <c r="P340" s="248"/>
      <c r="Q340" s="248"/>
      <c r="R340" s="248"/>
      <c r="S340" s="248"/>
    </row>
    <row r="341" ht="15.75" customHeight="1">
      <c r="O341" s="248"/>
      <c r="P341" s="248"/>
      <c r="Q341" s="248"/>
      <c r="R341" s="248"/>
      <c r="S341" s="248"/>
    </row>
    <row r="342" ht="15.75" customHeight="1">
      <c r="O342" s="248"/>
      <c r="P342" s="248"/>
      <c r="Q342" s="248"/>
      <c r="R342" s="248"/>
      <c r="S342" s="248"/>
    </row>
    <row r="343" ht="15.75" customHeight="1">
      <c r="O343" s="248"/>
      <c r="P343" s="248"/>
      <c r="Q343" s="248"/>
      <c r="R343" s="248"/>
      <c r="S343" s="248"/>
    </row>
    <row r="344" ht="15.75" customHeight="1">
      <c r="O344" s="248"/>
      <c r="P344" s="248"/>
      <c r="Q344" s="248"/>
      <c r="R344" s="248"/>
      <c r="S344" s="248"/>
    </row>
    <row r="345" ht="15.75" customHeight="1">
      <c r="O345" s="248"/>
      <c r="P345" s="248"/>
      <c r="Q345" s="248"/>
      <c r="R345" s="248"/>
      <c r="S345" s="248"/>
    </row>
    <row r="346" ht="15.75" customHeight="1">
      <c r="O346" s="248"/>
      <c r="P346" s="248"/>
      <c r="Q346" s="248"/>
      <c r="R346" s="248"/>
      <c r="S346" s="248"/>
    </row>
    <row r="347" ht="15.75" customHeight="1">
      <c r="O347" s="248"/>
      <c r="P347" s="248"/>
      <c r="Q347" s="248"/>
      <c r="R347" s="248"/>
      <c r="S347" s="248"/>
    </row>
    <row r="348" ht="15.75" customHeight="1">
      <c r="O348" s="248"/>
      <c r="P348" s="248"/>
      <c r="Q348" s="248"/>
      <c r="R348" s="248"/>
      <c r="S348" s="248"/>
    </row>
    <row r="349" ht="15.75" customHeight="1">
      <c r="O349" s="248"/>
      <c r="P349" s="248"/>
      <c r="Q349" s="248"/>
      <c r="R349" s="248"/>
      <c r="S349" s="248"/>
    </row>
    <row r="350" ht="15.75" customHeight="1">
      <c r="O350" s="248"/>
      <c r="P350" s="248"/>
      <c r="Q350" s="248"/>
      <c r="R350" s="248"/>
      <c r="S350" s="248"/>
    </row>
    <row r="351" ht="15.75" customHeight="1">
      <c r="O351" s="248"/>
      <c r="P351" s="248"/>
      <c r="Q351" s="248"/>
      <c r="R351" s="248"/>
      <c r="S351" s="248"/>
    </row>
    <row r="352" ht="15.75" customHeight="1">
      <c r="O352" s="248"/>
      <c r="P352" s="248"/>
      <c r="Q352" s="248"/>
      <c r="R352" s="248"/>
      <c r="S352" s="248"/>
    </row>
    <row r="353" ht="15.75" customHeight="1">
      <c r="O353" s="248"/>
      <c r="P353" s="248"/>
      <c r="Q353" s="248"/>
      <c r="R353" s="248"/>
      <c r="S353" s="248"/>
    </row>
    <row r="354" ht="15.75" customHeight="1">
      <c r="O354" s="248"/>
      <c r="P354" s="248"/>
      <c r="Q354" s="248"/>
      <c r="R354" s="248"/>
      <c r="S354" s="248"/>
    </row>
    <row r="355" ht="15.75" customHeight="1">
      <c r="O355" s="248"/>
      <c r="P355" s="248"/>
      <c r="Q355" s="248"/>
      <c r="R355" s="248"/>
      <c r="S355" s="248"/>
    </row>
    <row r="356" ht="15.75" customHeight="1">
      <c r="O356" s="248"/>
      <c r="P356" s="248"/>
      <c r="Q356" s="248"/>
      <c r="R356" s="248"/>
      <c r="S356" s="248"/>
    </row>
    <row r="357" ht="15.75" customHeight="1">
      <c r="O357" s="248"/>
      <c r="P357" s="248"/>
      <c r="Q357" s="248"/>
      <c r="R357" s="248"/>
      <c r="S357" s="248"/>
    </row>
    <row r="358" ht="15.75" customHeight="1">
      <c r="O358" s="248"/>
      <c r="P358" s="248"/>
      <c r="Q358" s="248"/>
      <c r="R358" s="248"/>
      <c r="S358" s="248"/>
    </row>
    <row r="359" ht="15.75" customHeight="1">
      <c r="O359" s="248"/>
      <c r="P359" s="248"/>
      <c r="Q359" s="248"/>
      <c r="R359" s="248"/>
      <c r="S359" s="248"/>
    </row>
    <row r="360" ht="15.75" customHeight="1">
      <c r="O360" s="248"/>
      <c r="P360" s="248"/>
      <c r="Q360" s="248"/>
      <c r="R360" s="248"/>
      <c r="S360" s="248"/>
    </row>
    <row r="361" ht="15.75" customHeight="1">
      <c r="O361" s="248"/>
      <c r="P361" s="248"/>
      <c r="Q361" s="248"/>
      <c r="R361" s="248"/>
      <c r="S361" s="248"/>
    </row>
    <row r="362" ht="15.75" customHeight="1">
      <c r="O362" s="248"/>
      <c r="P362" s="248"/>
      <c r="Q362" s="248"/>
      <c r="R362" s="248"/>
      <c r="S362" s="248"/>
    </row>
    <row r="363" ht="15.75" customHeight="1">
      <c r="O363" s="248"/>
      <c r="P363" s="248"/>
      <c r="Q363" s="248"/>
      <c r="R363" s="248"/>
      <c r="S363" s="248"/>
    </row>
    <row r="364" ht="15.75" customHeight="1">
      <c r="O364" s="248"/>
      <c r="P364" s="248"/>
      <c r="Q364" s="248"/>
      <c r="R364" s="248"/>
      <c r="S364" s="248"/>
    </row>
    <row r="365" ht="15.75" customHeight="1">
      <c r="O365" s="248"/>
      <c r="P365" s="248"/>
      <c r="Q365" s="248"/>
      <c r="R365" s="248"/>
      <c r="S365" s="248"/>
    </row>
    <row r="366" ht="15.75" customHeight="1">
      <c r="O366" s="248"/>
      <c r="P366" s="248"/>
      <c r="Q366" s="248"/>
      <c r="R366" s="248"/>
      <c r="S366" s="248"/>
    </row>
    <row r="367" ht="15.75" customHeight="1">
      <c r="O367" s="248"/>
      <c r="P367" s="248"/>
      <c r="Q367" s="248"/>
      <c r="R367" s="248"/>
      <c r="S367" s="248"/>
    </row>
    <row r="368" ht="15.75" customHeight="1">
      <c r="O368" s="248"/>
      <c r="P368" s="248"/>
      <c r="Q368" s="248"/>
      <c r="R368" s="248"/>
      <c r="S368" s="248"/>
    </row>
    <row r="369" ht="15.75" customHeight="1">
      <c r="O369" s="248"/>
      <c r="P369" s="248"/>
      <c r="Q369" s="248"/>
      <c r="R369" s="248"/>
      <c r="S369" s="248"/>
    </row>
    <row r="370" ht="15.75" customHeight="1">
      <c r="O370" s="248"/>
      <c r="P370" s="248"/>
      <c r="Q370" s="248"/>
      <c r="R370" s="248"/>
      <c r="S370" s="248"/>
    </row>
    <row r="371" ht="15.75" customHeight="1">
      <c r="O371" s="248"/>
      <c r="P371" s="248"/>
      <c r="Q371" s="248"/>
      <c r="R371" s="248"/>
      <c r="S371" s="248"/>
    </row>
    <row r="372" ht="15.75" customHeight="1">
      <c r="O372" s="248"/>
      <c r="P372" s="248"/>
      <c r="Q372" s="248"/>
      <c r="R372" s="248"/>
      <c r="S372" s="248"/>
    </row>
    <row r="373" ht="15.75" customHeight="1">
      <c r="O373" s="248"/>
      <c r="P373" s="248"/>
      <c r="Q373" s="248"/>
      <c r="R373" s="248"/>
      <c r="S373" s="248"/>
    </row>
    <row r="374" ht="15.75" customHeight="1">
      <c r="O374" s="248"/>
      <c r="P374" s="248"/>
      <c r="Q374" s="248"/>
      <c r="R374" s="248"/>
      <c r="S374" s="248"/>
    </row>
    <row r="375" ht="15.75" customHeight="1">
      <c r="O375" s="248"/>
      <c r="P375" s="248"/>
      <c r="Q375" s="248"/>
      <c r="R375" s="248"/>
      <c r="S375" s="248"/>
    </row>
    <row r="376" ht="15.75" customHeight="1">
      <c r="O376" s="248"/>
      <c r="P376" s="248"/>
      <c r="Q376" s="248"/>
      <c r="R376" s="248"/>
      <c r="S376" s="248"/>
    </row>
    <row r="377" ht="15.75" customHeight="1">
      <c r="O377" s="248"/>
      <c r="P377" s="248"/>
      <c r="Q377" s="248"/>
      <c r="R377" s="248"/>
      <c r="S377" s="248"/>
    </row>
    <row r="378" ht="15.75" customHeight="1">
      <c r="O378" s="248"/>
      <c r="P378" s="248"/>
      <c r="Q378" s="248"/>
      <c r="R378" s="248"/>
      <c r="S378" s="248"/>
    </row>
    <row r="379" ht="15.75" customHeight="1">
      <c r="O379" s="248"/>
      <c r="P379" s="248"/>
      <c r="Q379" s="248"/>
      <c r="R379" s="248"/>
      <c r="S379" s="248"/>
    </row>
    <row r="380" ht="15.75" customHeight="1">
      <c r="O380" s="248"/>
      <c r="P380" s="248"/>
      <c r="Q380" s="248"/>
      <c r="R380" s="248"/>
      <c r="S380" s="248"/>
    </row>
    <row r="381" ht="15.75" customHeight="1">
      <c r="O381" s="248"/>
      <c r="P381" s="248"/>
      <c r="Q381" s="248"/>
      <c r="R381" s="248"/>
      <c r="S381" s="248"/>
    </row>
    <row r="382" ht="15.75" customHeight="1">
      <c r="O382" s="248"/>
      <c r="P382" s="248"/>
      <c r="Q382" s="248"/>
      <c r="R382" s="248"/>
      <c r="S382" s="248"/>
    </row>
    <row r="383" ht="15.75" customHeight="1">
      <c r="O383" s="248"/>
      <c r="P383" s="248"/>
      <c r="Q383" s="248"/>
      <c r="R383" s="248"/>
      <c r="S383" s="248"/>
    </row>
    <row r="384" ht="15.75" customHeight="1">
      <c r="O384" s="248"/>
      <c r="P384" s="248"/>
      <c r="Q384" s="248"/>
      <c r="R384" s="248"/>
      <c r="S384" s="248"/>
    </row>
    <row r="385" ht="15.75" customHeight="1">
      <c r="O385" s="248"/>
      <c r="P385" s="248"/>
      <c r="Q385" s="248"/>
      <c r="R385" s="248"/>
      <c r="S385" s="248"/>
    </row>
    <row r="386" ht="15.75" customHeight="1">
      <c r="O386" s="248"/>
      <c r="P386" s="248"/>
      <c r="Q386" s="248"/>
      <c r="R386" s="248"/>
      <c r="S386" s="248"/>
    </row>
    <row r="387" ht="15.75" customHeight="1">
      <c r="O387" s="248"/>
      <c r="P387" s="248"/>
      <c r="Q387" s="248"/>
      <c r="R387" s="248"/>
      <c r="S387" s="248"/>
    </row>
    <row r="388" ht="15.75" customHeight="1">
      <c r="O388" s="248"/>
      <c r="P388" s="248"/>
      <c r="Q388" s="248"/>
      <c r="R388" s="248"/>
      <c r="S388" s="248"/>
    </row>
    <row r="389" ht="15.75" customHeight="1">
      <c r="O389" s="248"/>
      <c r="P389" s="248"/>
      <c r="Q389" s="248"/>
      <c r="R389" s="248"/>
      <c r="S389" s="248"/>
    </row>
    <row r="390" ht="15.75" customHeight="1">
      <c r="O390" s="248"/>
      <c r="P390" s="248"/>
      <c r="Q390" s="248"/>
      <c r="R390" s="248"/>
      <c r="S390" s="248"/>
    </row>
    <row r="391" ht="15.75" customHeight="1">
      <c r="O391" s="248"/>
      <c r="P391" s="248"/>
      <c r="Q391" s="248"/>
      <c r="R391" s="248"/>
      <c r="S391" s="248"/>
    </row>
    <row r="392" ht="15.75" customHeight="1">
      <c r="O392" s="248"/>
      <c r="P392" s="248"/>
      <c r="Q392" s="248"/>
      <c r="R392" s="248"/>
      <c r="S392" s="248"/>
    </row>
    <row r="393" ht="15.75" customHeight="1">
      <c r="O393" s="248"/>
      <c r="P393" s="248"/>
      <c r="Q393" s="248"/>
      <c r="R393" s="248"/>
      <c r="S393" s="248"/>
    </row>
    <row r="394" ht="15.75" customHeight="1">
      <c r="O394" s="248"/>
      <c r="P394" s="248"/>
      <c r="Q394" s="248"/>
      <c r="R394" s="248"/>
      <c r="S394" s="248"/>
    </row>
    <row r="395" ht="15.75" customHeight="1">
      <c r="O395" s="248"/>
      <c r="P395" s="248"/>
      <c r="Q395" s="248"/>
      <c r="R395" s="248"/>
      <c r="S395" s="248"/>
    </row>
    <row r="396" ht="15.75" customHeight="1">
      <c r="O396" s="248"/>
      <c r="P396" s="248"/>
      <c r="Q396" s="248"/>
      <c r="R396" s="248"/>
      <c r="S396" s="248"/>
    </row>
    <row r="397" ht="15.75" customHeight="1">
      <c r="O397" s="248"/>
      <c r="P397" s="248"/>
      <c r="Q397" s="248"/>
      <c r="R397" s="248"/>
      <c r="S397" s="248"/>
    </row>
    <row r="398" ht="15.75" customHeight="1">
      <c r="O398" s="248"/>
      <c r="P398" s="248"/>
      <c r="Q398" s="248"/>
      <c r="R398" s="248"/>
      <c r="S398" s="248"/>
    </row>
    <row r="399" ht="15.75" customHeight="1">
      <c r="O399" s="248"/>
      <c r="P399" s="248"/>
      <c r="Q399" s="248"/>
      <c r="R399" s="248"/>
      <c r="S399" s="248"/>
    </row>
    <row r="400" ht="15.75" customHeight="1">
      <c r="O400" s="248"/>
      <c r="P400" s="248"/>
      <c r="Q400" s="248"/>
      <c r="R400" s="248"/>
      <c r="S400" s="248"/>
    </row>
    <row r="401" ht="15.75" customHeight="1">
      <c r="O401" s="248"/>
      <c r="P401" s="248"/>
      <c r="Q401" s="248"/>
      <c r="R401" s="248"/>
      <c r="S401" s="248"/>
    </row>
    <row r="402" ht="15.75" customHeight="1">
      <c r="O402" s="248"/>
      <c r="P402" s="248"/>
      <c r="Q402" s="248"/>
      <c r="R402" s="248"/>
      <c r="S402" s="248"/>
    </row>
    <row r="403" ht="15.75" customHeight="1">
      <c r="O403" s="248"/>
      <c r="P403" s="248"/>
      <c r="Q403" s="248"/>
      <c r="R403" s="248"/>
      <c r="S403" s="248"/>
    </row>
    <row r="404" ht="15.75" customHeight="1">
      <c r="O404" s="248"/>
      <c r="P404" s="248"/>
      <c r="Q404" s="248"/>
      <c r="R404" s="248"/>
      <c r="S404" s="248"/>
    </row>
    <row r="405" ht="15.75" customHeight="1">
      <c r="O405" s="248"/>
      <c r="P405" s="248"/>
      <c r="Q405" s="248"/>
      <c r="R405" s="248"/>
      <c r="S405" s="248"/>
    </row>
    <row r="406" ht="15.75" customHeight="1">
      <c r="O406" s="248"/>
      <c r="P406" s="248"/>
      <c r="Q406" s="248"/>
      <c r="R406" s="248"/>
      <c r="S406" s="248"/>
    </row>
    <row r="407" ht="15.75" customHeight="1">
      <c r="O407" s="248"/>
      <c r="P407" s="248"/>
      <c r="Q407" s="248"/>
      <c r="R407" s="248"/>
      <c r="S407" s="248"/>
    </row>
    <row r="408" ht="15.75" customHeight="1">
      <c r="O408" s="248"/>
      <c r="P408" s="248"/>
      <c r="Q408" s="248"/>
      <c r="R408" s="248"/>
      <c r="S408" s="248"/>
    </row>
    <row r="409" ht="15.75" customHeight="1">
      <c r="O409" s="248"/>
      <c r="P409" s="248"/>
      <c r="Q409" s="248"/>
      <c r="R409" s="248"/>
      <c r="S409" s="248"/>
    </row>
    <row r="410" ht="15.75" customHeight="1">
      <c r="O410" s="248"/>
      <c r="P410" s="248"/>
      <c r="Q410" s="248"/>
      <c r="R410" s="248"/>
      <c r="S410" s="248"/>
    </row>
    <row r="411" ht="15.75" customHeight="1">
      <c r="O411" s="248"/>
      <c r="P411" s="248"/>
      <c r="Q411" s="248"/>
      <c r="R411" s="248"/>
      <c r="S411" s="248"/>
    </row>
    <row r="412" ht="15.75" customHeight="1">
      <c r="O412" s="248"/>
      <c r="P412" s="248"/>
      <c r="Q412" s="248"/>
      <c r="R412" s="248"/>
      <c r="S412" s="248"/>
    </row>
    <row r="413" ht="15.75" customHeight="1">
      <c r="O413" s="248"/>
      <c r="P413" s="248"/>
      <c r="Q413" s="248"/>
      <c r="R413" s="248"/>
      <c r="S413" s="248"/>
    </row>
    <row r="414" ht="15.75" customHeight="1">
      <c r="O414" s="248"/>
      <c r="P414" s="248"/>
      <c r="Q414" s="248"/>
      <c r="R414" s="248"/>
      <c r="S414" s="248"/>
    </row>
    <row r="415" ht="15.75" customHeight="1">
      <c r="O415" s="248"/>
      <c r="P415" s="248"/>
      <c r="Q415" s="248"/>
      <c r="R415" s="248"/>
      <c r="S415" s="248"/>
    </row>
    <row r="416" ht="15.75" customHeight="1">
      <c r="O416" s="248"/>
      <c r="P416" s="248"/>
      <c r="Q416" s="248"/>
      <c r="R416" s="248"/>
      <c r="S416" s="248"/>
    </row>
    <row r="417" ht="15.75" customHeight="1">
      <c r="O417" s="248"/>
      <c r="P417" s="248"/>
      <c r="Q417" s="248"/>
      <c r="R417" s="248"/>
      <c r="S417" s="248"/>
    </row>
    <row r="418" ht="15.75" customHeight="1">
      <c r="O418" s="248"/>
      <c r="P418" s="248"/>
      <c r="Q418" s="248"/>
      <c r="R418" s="248"/>
      <c r="S418" s="248"/>
    </row>
    <row r="419" ht="15.75" customHeight="1">
      <c r="O419" s="248"/>
      <c r="P419" s="248"/>
      <c r="Q419" s="248"/>
      <c r="R419" s="248"/>
      <c r="S419" s="248"/>
    </row>
    <row r="420" ht="15.75" customHeight="1">
      <c r="O420" s="248"/>
      <c r="P420" s="248"/>
      <c r="Q420" s="248"/>
      <c r="R420" s="248"/>
      <c r="S420" s="248"/>
    </row>
    <row r="421" ht="15.75" customHeight="1">
      <c r="O421" s="248"/>
      <c r="P421" s="248"/>
      <c r="Q421" s="248"/>
      <c r="R421" s="248"/>
      <c r="S421" s="248"/>
    </row>
    <row r="422" ht="15.75" customHeight="1">
      <c r="O422" s="248"/>
      <c r="P422" s="248"/>
      <c r="Q422" s="248"/>
      <c r="R422" s="248"/>
      <c r="S422" s="248"/>
    </row>
    <row r="423" ht="15.75" customHeight="1">
      <c r="O423" s="248"/>
      <c r="P423" s="248"/>
      <c r="Q423" s="248"/>
      <c r="R423" s="248"/>
      <c r="S423" s="248"/>
    </row>
    <row r="424" ht="15.75" customHeight="1">
      <c r="O424" s="248"/>
      <c r="P424" s="248"/>
      <c r="Q424" s="248"/>
      <c r="R424" s="248"/>
      <c r="S424" s="248"/>
    </row>
    <row r="425" ht="15.75" customHeight="1">
      <c r="O425" s="248"/>
      <c r="P425" s="248"/>
      <c r="Q425" s="248"/>
      <c r="R425" s="248"/>
      <c r="S425" s="248"/>
    </row>
    <row r="426" ht="15.75" customHeight="1">
      <c r="O426" s="248"/>
      <c r="P426" s="248"/>
      <c r="Q426" s="248"/>
      <c r="R426" s="248"/>
      <c r="S426" s="248"/>
    </row>
    <row r="427" ht="15.75" customHeight="1">
      <c r="O427" s="248"/>
      <c r="P427" s="248"/>
      <c r="Q427" s="248"/>
      <c r="R427" s="248"/>
      <c r="S427" s="248"/>
    </row>
    <row r="428" ht="15.75" customHeight="1">
      <c r="O428" s="248"/>
      <c r="P428" s="248"/>
      <c r="Q428" s="248"/>
      <c r="R428" s="248"/>
      <c r="S428" s="248"/>
    </row>
    <row r="429" ht="15.75" customHeight="1">
      <c r="O429" s="248"/>
      <c r="P429" s="248"/>
      <c r="Q429" s="248"/>
      <c r="R429" s="248"/>
      <c r="S429" s="248"/>
    </row>
    <row r="430" ht="15.75" customHeight="1">
      <c r="O430" s="248"/>
      <c r="P430" s="248"/>
      <c r="Q430" s="248"/>
      <c r="R430" s="248"/>
      <c r="S430" s="248"/>
    </row>
    <row r="431" ht="15.75" customHeight="1">
      <c r="O431" s="248"/>
      <c r="P431" s="248"/>
      <c r="Q431" s="248"/>
      <c r="R431" s="248"/>
      <c r="S431" s="248"/>
    </row>
    <row r="432" ht="15.75" customHeight="1">
      <c r="O432" s="248"/>
      <c r="P432" s="248"/>
      <c r="Q432" s="248"/>
      <c r="R432" s="248"/>
      <c r="S432" s="248"/>
    </row>
    <row r="433" ht="15.75" customHeight="1">
      <c r="O433" s="248"/>
      <c r="P433" s="248"/>
      <c r="Q433" s="248"/>
      <c r="R433" s="248"/>
      <c r="S433" s="248"/>
    </row>
    <row r="434" ht="15.75" customHeight="1">
      <c r="O434" s="248"/>
      <c r="P434" s="248"/>
      <c r="Q434" s="248"/>
      <c r="R434" s="248"/>
      <c r="S434" s="248"/>
    </row>
    <row r="435" ht="15.75" customHeight="1">
      <c r="O435" s="248"/>
      <c r="P435" s="248"/>
      <c r="Q435" s="248"/>
      <c r="R435" s="248"/>
      <c r="S435" s="248"/>
    </row>
    <row r="436" ht="15.75" customHeight="1">
      <c r="O436" s="248"/>
      <c r="P436" s="248"/>
      <c r="Q436" s="248"/>
      <c r="R436" s="248"/>
      <c r="S436" s="248"/>
    </row>
    <row r="437" ht="15.75" customHeight="1">
      <c r="O437" s="248"/>
      <c r="P437" s="248"/>
      <c r="Q437" s="248"/>
      <c r="R437" s="248"/>
      <c r="S437" s="248"/>
    </row>
    <row r="438" ht="15.75" customHeight="1">
      <c r="O438" s="248"/>
      <c r="P438" s="248"/>
      <c r="Q438" s="248"/>
      <c r="R438" s="248"/>
      <c r="S438" s="248"/>
    </row>
    <row r="439" ht="15.75" customHeight="1">
      <c r="O439" s="248"/>
      <c r="P439" s="248"/>
      <c r="Q439" s="248"/>
      <c r="R439" s="248"/>
      <c r="S439" s="248"/>
    </row>
    <row r="440" ht="15.75" customHeight="1">
      <c r="O440" s="248"/>
      <c r="P440" s="248"/>
      <c r="Q440" s="248"/>
      <c r="R440" s="248"/>
      <c r="S440" s="248"/>
    </row>
    <row r="441" ht="15.75" customHeight="1">
      <c r="O441" s="248"/>
      <c r="P441" s="248"/>
      <c r="Q441" s="248"/>
      <c r="R441" s="248"/>
      <c r="S441" s="248"/>
    </row>
    <row r="442" ht="15.75" customHeight="1">
      <c r="O442" s="248"/>
      <c r="P442" s="248"/>
      <c r="Q442" s="248"/>
      <c r="R442" s="248"/>
      <c r="S442" s="248"/>
    </row>
    <row r="443" ht="15.75" customHeight="1">
      <c r="O443" s="248"/>
      <c r="P443" s="248"/>
      <c r="Q443" s="248"/>
      <c r="R443" s="248"/>
      <c r="S443" s="248"/>
    </row>
    <row r="444" ht="15.75" customHeight="1">
      <c r="O444" s="248"/>
      <c r="P444" s="248"/>
      <c r="Q444" s="248"/>
      <c r="R444" s="248"/>
      <c r="S444" s="248"/>
    </row>
    <row r="445" ht="15.75" customHeight="1">
      <c r="O445" s="248"/>
      <c r="P445" s="248"/>
      <c r="Q445" s="248"/>
      <c r="R445" s="248"/>
      <c r="S445" s="248"/>
    </row>
    <row r="446" ht="15.75" customHeight="1">
      <c r="O446" s="248"/>
      <c r="P446" s="248"/>
      <c r="Q446" s="248"/>
      <c r="R446" s="248"/>
      <c r="S446" s="248"/>
    </row>
    <row r="447" ht="15.75" customHeight="1">
      <c r="O447" s="248"/>
      <c r="P447" s="248"/>
      <c r="Q447" s="248"/>
      <c r="R447" s="248"/>
      <c r="S447" s="248"/>
    </row>
    <row r="448" ht="15.75" customHeight="1">
      <c r="O448" s="248"/>
      <c r="P448" s="248"/>
      <c r="Q448" s="248"/>
      <c r="R448" s="248"/>
      <c r="S448" s="248"/>
    </row>
    <row r="449" ht="15.75" customHeight="1">
      <c r="O449" s="248"/>
      <c r="P449" s="248"/>
      <c r="Q449" s="248"/>
      <c r="R449" s="248"/>
      <c r="S449" s="248"/>
    </row>
    <row r="450" ht="15.75" customHeight="1">
      <c r="O450" s="248"/>
      <c r="P450" s="248"/>
      <c r="Q450" s="248"/>
      <c r="R450" s="248"/>
      <c r="S450" s="248"/>
    </row>
    <row r="451" ht="15.75" customHeight="1">
      <c r="O451" s="248"/>
      <c r="P451" s="248"/>
      <c r="Q451" s="248"/>
      <c r="R451" s="248"/>
      <c r="S451" s="248"/>
    </row>
    <row r="452" ht="15.75" customHeight="1">
      <c r="O452" s="248"/>
      <c r="P452" s="248"/>
      <c r="Q452" s="248"/>
      <c r="R452" s="248"/>
      <c r="S452" s="248"/>
    </row>
    <row r="453" ht="15.75" customHeight="1">
      <c r="O453" s="248"/>
      <c r="P453" s="248"/>
      <c r="Q453" s="248"/>
      <c r="R453" s="248"/>
      <c r="S453" s="248"/>
    </row>
    <row r="454" ht="15.75" customHeight="1">
      <c r="O454" s="248"/>
      <c r="P454" s="248"/>
      <c r="Q454" s="248"/>
      <c r="R454" s="248"/>
      <c r="S454" s="248"/>
    </row>
    <row r="455" ht="15.75" customHeight="1">
      <c r="O455" s="248"/>
      <c r="P455" s="248"/>
      <c r="Q455" s="248"/>
      <c r="R455" s="248"/>
      <c r="S455" s="248"/>
    </row>
    <row r="456" ht="15.75" customHeight="1">
      <c r="O456" s="248"/>
      <c r="P456" s="248"/>
      <c r="Q456" s="248"/>
      <c r="R456" s="248"/>
      <c r="S456" s="248"/>
    </row>
    <row r="457" ht="15.75" customHeight="1">
      <c r="O457" s="248"/>
      <c r="P457" s="248"/>
      <c r="Q457" s="248"/>
      <c r="R457" s="248"/>
      <c r="S457" s="248"/>
    </row>
    <row r="458" ht="15.75" customHeight="1">
      <c r="O458" s="248"/>
      <c r="P458" s="248"/>
      <c r="Q458" s="248"/>
      <c r="R458" s="248"/>
      <c r="S458" s="248"/>
    </row>
    <row r="459" ht="15.75" customHeight="1">
      <c r="O459" s="248"/>
      <c r="P459" s="248"/>
      <c r="Q459" s="248"/>
      <c r="R459" s="248"/>
      <c r="S459" s="248"/>
    </row>
    <row r="460" ht="15.75" customHeight="1">
      <c r="O460" s="248"/>
      <c r="P460" s="248"/>
      <c r="Q460" s="248"/>
      <c r="R460" s="248"/>
      <c r="S460" s="248"/>
    </row>
    <row r="461" ht="15.75" customHeight="1">
      <c r="O461" s="248"/>
      <c r="P461" s="248"/>
      <c r="Q461" s="248"/>
      <c r="R461" s="248"/>
      <c r="S461" s="248"/>
    </row>
    <row r="462" ht="15.75" customHeight="1">
      <c r="O462" s="248"/>
      <c r="P462" s="248"/>
      <c r="Q462" s="248"/>
      <c r="R462" s="248"/>
      <c r="S462" s="248"/>
    </row>
    <row r="463" ht="15.75" customHeight="1">
      <c r="O463" s="248"/>
      <c r="P463" s="248"/>
      <c r="Q463" s="248"/>
      <c r="R463" s="248"/>
      <c r="S463" s="248"/>
    </row>
    <row r="464" ht="15.75" customHeight="1">
      <c r="O464" s="248"/>
      <c r="P464" s="248"/>
      <c r="Q464" s="248"/>
      <c r="R464" s="248"/>
      <c r="S464" s="248"/>
    </row>
    <row r="465" ht="15.75" customHeight="1">
      <c r="O465" s="248"/>
      <c r="P465" s="248"/>
      <c r="Q465" s="248"/>
      <c r="R465" s="248"/>
      <c r="S465" s="248"/>
    </row>
    <row r="466" ht="15.75" customHeight="1">
      <c r="O466" s="248"/>
      <c r="P466" s="248"/>
      <c r="Q466" s="248"/>
      <c r="R466" s="248"/>
      <c r="S466" s="248"/>
    </row>
    <row r="467" ht="15.75" customHeight="1">
      <c r="O467" s="248"/>
      <c r="P467" s="248"/>
      <c r="Q467" s="248"/>
      <c r="R467" s="248"/>
      <c r="S467" s="248"/>
    </row>
    <row r="468" ht="15.75" customHeight="1">
      <c r="O468" s="248"/>
      <c r="P468" s="248"/>
      <c r="Q468" s="248"/>
      <c r="R468" s="248"/>
      <c r="S468" s="248"/>
    </row>
    <row r="469" ht="15.75" customHeight="1">
      <c r="O469" s="248"/>
      <c r="P469" s="248"/>
      <c r="Q469" s="248"/>
      <c r="R469" s="248"/>
      <c r="S469" s="248"/>
    </row>
    <row r="470" ht="15.75" customHeight="1">
      <c r="O470" s="248"/>
      <c r="P470" s="248"/>
      <c r="Q470" s="248"/>
      <c r="R470" s="248"/>
      <c r="S470" s="248"/>
    </row>
    <row r="471" ht="15.75" customHeight="1">
      <c r="O471" s="248"/>
      <c r="P471" s="248"/>
      <c r="Q471" s="248"/>
      <c r="R471" s="248"/>
      <c r="S471" s="248"/>
    </row>
    <row r="472" ht="15.75" customHeight="1">
      <c r="O472" s="248"/>
      <c r="P472" s="248"/>
      <c r="Q472" s="248"/>
      <c r="R472" s="248"/>
      <c r="S472" s="248"/>
    </row>
    <row r="473" ht="15.75" customHeight="1">
      <c r="O473" s="248"/>
      <c r="P473" s="248"/>
      <c r="Q473" s="248"/>
      <c r="R473" s="248"/>
      <c r="S473" s="248"/>
    </row>
    <row r="474" ht="15.75" customHeight="1">
      <c r="O474" s="248"/>
      <c r="P474" s="248"/>
      <c r="Q474" s="248"/>
      <c r="R474" s="248"/>
      <c r="S474" s="248"/>
    </row>
    <row r="475" ht="15.75" customHeight="1">
      <c r="O475" s="248"/>
      <c r="P475" s="248"/>
      <c r="Q475" s="248"/>
      <c r="R475" s="248"/>
      <c r="S475" s="248"/>
    </row>
    <row r="476" ht="15.75" customHeight="1">
      <c r="O476" s="248"/>
      <c r="P476" s="248"/>
      <c r="Q476" s="248"/>
      <c r="R476" s="248"/>
      <c r="S476" s="248"/>
    </row>
    <row r="477" ht="15.75" customHeight="1">
      <c r="O477" s="248"/>
      <c r="P477" s="248"/>
      <c r="Q477" s="248"/>
      <c r="R477" s="248"/>
      <c r="S477" s="248"/>
    </row>
    <row r="478" ht="15.75" customHeight="1">
      <c r="O478" s="248"/>
      <c r="P478" s="248"/>
      <c r="Q478" s="248"/>
      <c r="R478" s="248"/>
      <c r="S478" s="248"/>
    </row>
    <row r="479" ht="15.75" customHeight="1">
      <c r="O479" s="248"/>
      <c r="P479" s="248"/>
      <c r="Q479" s="248"/>
      <c r="R479" s="248"/>
      <c r="S479" s="248"/>
    </row>
    <row r="480" ht="15.75" customHeight="1">
      <c r="O480" s="248"/>
      <c r="P480" s="248"/>
      <c r="Q480" s="248"/>
      <c r="R480" s="248"/>
      <c r="S480" s="248"/>
    </row>
    <row r="481" ht="15.75" customHeight="1">
      <c r="O481" s="248"/>
      <c r="P481" s="248"/>
      <c r="Q481" s="248"/>
      <c r="R481" s="248"/>
      <c r="S481" s="248"/>
    </row>
    <row r="482" ht="15.75" customHeight="1">
      <c r="O482" s="248"/>
      <c r="P482" s="248"/>
      <c r="Q482" s="248"/>
      <c r="R482" s="248"/>
      <c r="S482" s="248"/>
    </row>
    <row r="483" ht="15.75" customHeight="1">
      <c r="O483" s="248"/>
      <c r="P483" s="248"/>
      <c r="Q483" s="248"/>
      <c r="R483" s="248"/>
      <c r="S483" s="248"/>
    </row>
    <row r="484" ht="15.75" customHeight="1">
      <c r="O484" s="248"/>
      <c r="P484" s="248"/>
      <c r="Q484" s="248"/>
      <c r="R484" s="248"/>
      <c r="S484" s="248"/>
    </row>
    <row r="485" ht="15.75" customHeight="1">
      <c r="O485" s="248"/>
      <c r="P485" s="248"/>
      <c r="Q485" s="248"/>
      <c r="R485" s="248"/>
      <c r="S485" s="248"/>
    </row>
    <row r="486" ht="15.75" customHeight="1">
      <c r="O486" s="248"/>
      <c r="P486" s="248"/>
      <c r="Q486" s="248"/>
      <c r="R486" s="248"/>
      <c r="S486" s="248"/>
    </row>
    <row r="487" ht="15.75" customHeight="1">
      <c r="O487" s="248"/>
      <c r="P487" s="248"/>
      <c r="Q487" s="248"/>
      <c r="R487" s="248"/>
      <c r="S487" s="248"/>
    </row>
    <row r="488" ht="15.75" customHeight="1">
      <c r="O488" s="248"/>
      <c r="P488" s="248"/>
      <c r="Q488" s="248"/>
      <c r="R488" s="248"/>
      <c r="S488" s="248"/>
    </row>
    <row r="489" ht="15.75" customHeight="1">
      <c r="O489" s="248"/>
      <c r="P489" s="248"/>
      <c r="Q489" s="248"/>
      <c r="R489" s="248"/>
      <c r="S489" s="248"/>
    </row>
    <row r="490" ht="15.75" customHeight="1">
      <c r="O490" s="248"/>
      <c r="P490" s="248"/>
      <c r="Q490" s="248"/>
      <c r="R490" s="248"/>
      <c r="S490" s="248"/>
    </row>
    <row r="491" ht="15.75" customHeight="1">
      <c r="O491" s="248"/>
      <c r="P491" s="248"/>
      <c r="Q491" s="248"/>
      <c r="R491" s="248"/>
      <c r="S491" s="248"/>
    </row>
    <row r="492" ht="15.75" customHeight="1">
      <c r="O492" s="248"/>
      <c r="P492" s="248"/>
      <c r="Q492" s="248"/>
      <c r="R492" s="248"/>
      <c r="S492" s="248"/>
    </row>
    <row r="493" ht="15.75" customHeight="1">
      <c r="O493" s="248"/>
      <c r="P493" s="248"/>
      <c r="Q493" s="248"/>
      <c r="R493" s="248"/>
      <c r="S493" s="248"/>
    </row>
    <row r="494" ht="15.75" customHeight="1">
      <c r="O494" s="248"/>
      <c r="P494" s="248"/>
      <c r="Q494" s="248"/>
      <c r="R494" s="248"/>
      <c r="S494" s="248"/>
    </row>
    <row r="495" ht="15.75" customHeight="1">
      <c r="O495" s="248"/>
      <c r="P495" s="248"/>
      <c r="Q495" s="248"/>
      <c r="R495" s="248"/>
      <c r="S495" s="248"/>
    </row>
    <row r="496" ht="15.75" customHeight="1">
      <c r="O496" s="248"/>
      <c r="P496" s="248"/>
      <c r="Q496" s="248"/>
      <c r="R496" s="248"/>
      <c r="S496" s="248"/>
    </row>
    <row r="497" ht="15.75" customHeight="1">
      <c r="O497" s="248"/>
      <c r="P497" s="248"/>
      <c r="Q497" s="248"/>
      <c r="R497" s="248"/>
      <c r="S497" s="248"/>
    </row>
    <row r="498" ht="15.75" customHeight="1">
      <c r="O498" s="248"/>
      <c r="P498" s="248"/>
      <c r="Q498" s="248"/>
      <c r="R498" s="248"/>
      <c r="S498" s="248"/>
    </row>
    <row r="499" ht="15.75" customHeight="1">
      <c r="O499" s="248"/>
      <c r="P499" s="248"/>
      <c r="Q499" s="248"/>
      <c r="R499" s="248"/>
      <c r="S499" s="248"/>
    </row>
    <row r="500" ht="15.75" customHeight="1">
      <c r="O500" s="248"/>
      <c r="P500" s="248"/>
      <c r="Q500" s="248"/>
      <c r="R500" s="248"/>
      <c r="S500" s="248"/>
    </row>
    <row r="501" ht="15.75" customHeight="1">
      <c r="O501" s="248"/>
      <c r="P501" s="248"/>
      <c r="Q501" s="248"/>
      <c r="R501" s="248"/>
      <c r="S501" s="248"/>
    </row>
    <row r="502" ht="15.75" customHeight="1">
      <c r="O502" s="248"/>
      <c r="P502" s="248"/>
      <c r="Q502" s="248"/>
      <c r="R502" s="248"/>
      <c r="S502" s="248"/>
    </row>
    <row r="503" ht="15.75" customHeight="1">
      <c r="O503" s="248"/>
      <c r="P503" s="248"/>
      <c r="Q503" s="248"/>
      <c r="R503" s="248"/>
      <c r="S503" s="248"/>
    </row>
    <row r="504" ht="15.75" customHeight="1">
      <c r="O504" s="248"/>
      <c r="P504" s="248"/>
      <c r="Q504" s="248"/>
      <c r="R504" s="248"/>
      <c r="S504" s="248"/>
    </row>
    <row r="505" ht="15.75" customHeight="1">
      <c r="O505" s="248"/>
      <c r="P505" s="248"/>
      <c r="Q505" s="248"/>
      <c r="R505" s="248"/>
      <c r="S505" s="248"/>
    </row>
    <row r="506" ht="15.75" customHeight="1">
      <c r="O506" s="248"/>
      <c r="P506" s="248"/>
      <c r="Q506" s="248"/>
      <c r="R506" s="248"/>
      <c r="S506" s="248"/>
    </row>
    <row r="507" ht="15.75" customHeight="1">
      <c r="O507" s="248"/>
      <c r="P507" s="248"/>
      <c r="Q507" s="248"/>
      <c r="R507" s="248"/>
      <c r="S507" s="248"/>
    </row>
    <row r="508" ht="15.75" customHeight="1">
      <c r="O508" s="248"/>
      <c r="P508" s="248"/>
      <c r="Q508" s="248"/>
      <c r="R508" s="248"/>
      <c r="S508" s="248"/>
    </row>
    <row r="509" ht="15.75" customHeight="1">
      <c r="O509" s="248"/>
      <c r="P509" s="248"/>
      <c r="Q509" s="248"/>
      <c r="R509" s="248"/>
      <c r="S509" s="248"/>
    </row>
    <row r="510" ht="15.75" customHeight="1">
      <c r="O510" s="248"/>
      <c r="P510" s="248"/>
      <c r="Q510" s="248"/>
      <c r="R510" s="248"/>
      <c r="S510" s="248"/>
    </row>
    <row r="511" ht="15.75" customHeight="1">
      <c r="O511" s="248"/>
      <c r="P511" s="248"/>
      <c r="Q511" s="248"/>
      <c r="R511" s="248"/>
      <c r="S511" s="248"/>
    </row>
    <row r="512" ht="15.75" customHeight="1">
      <c r="O512" s="248"/>
      <c r="P512" s="248"/>
      <c r="Q512" s="248"/>
      <c r="R512" s="248"/>
      <c r="S512" s="248"/>
    </row>
    <row r="513" ht="15.75" customHeight="1">
      <c r="O513" s="248"/>
      <c r="P513" s="248"/>
      <c r="Q513" s="248"/>
      <c r="R513" s="248"/>
      <c r="S513" s="248"/>
    </row>
    <row r="514" ht="15.75" customHeight="1">
      <c r="O514" s="248"/>
      <c r="P514" s="248"/>
      <c r="Q514" s="248"/>
      <c r="R514" s="248"/>
      <c r="S514" s="248"/>
    </row>
    <row r="515" ht="15.75" customHeight="1">
      <c r="O515" s="248"/>
      <c r="P515" s="248"/>
      <c r="Q515" s="248"/>
      <c r="R515" s="248"/>
      <c r="S515" s="248"/>
    </row>
    <row r="516" ht="15.75" customHeight="1">
      <c r="O516" s="248"/>
      <c r="P516" s="248"/>
      <c r="Q516" s="248"/>
      <c r="R516" s="248"/>
      <c r="S516" s="248"/>
    </row>
    <row r="517" ht="15.75" customHeight="1">
      <c r="O517" s="248"/>
      <c r="P517" s="248"/>
      <c r="Q517" s="248"/>
      <c r="R517" s="248"/>
      <c r="S517" s="248"/>
    </row>
    <row r="518" ht="15.75" customHeight="1">
      <c r="O518" s="248"/>
      <c r="P518" s="248"/>
      <c r="Q518" s="248"/>
      <c r="R518" s="248"/>
      <c r="S518" s="248"/>
    </row>
    <row r="519" ht="15.75" customHeight="1">
      <c r="O519" s="248"/>
      <c r="P519" s="248"/>
      <c r="Q519" s="248"/>
      <c r="R519" s="248"/>
      <c r="S519" s="248"/>
    </row>
    <row r="520" ht="15.75" customHeight="1">
      <c r="O520" s="248"/>
      <c r="P520" s="248"/>
      <c r="Q520" s="248"/>
      <c r="R520" s="248"/>
      <c r="S520" s="248"/>
    </row>
    <row r="521" ht="15.75" customHeight="1">
      <c r="O521" s="248"/>
      <c r="P521" s="248"/>
      <c r="Q521" s="248"/>
      <c r="R521" s="248"/>
      <c r="S521" s="248"/>
    </row>
    <row r="522" ht="15.75" customHeight="1">
      <c r="O522" s="248"/>
      <c r="P522" s="248"/>
      <c r="Q522" s="248"/>
      <c r="R522" s="248"/>
      <c r="S522" s="248"/>
    </row>
    <row r="523" ht="15.75" customHeight="1">
      <c r="O523" s="248"/>
      <c r="P523" s="248"/>
      <c r="Q523" s="248"/>
      <c r="R523" s="248"/>
      <c r="S523" s="248"/>
    </row>
    <row r="524" ht="15.75" customHeight="1">
      <c r="O524" s="248"/>
      <c r="P524" s="248"/>
      <c r="Q524" s="248"/>
      <c r="R524" s="248"/>
      <c r="S524" s="248"/>
    </row>
    <row r="525" ht="15.75" customHeight="1">
      <c r="O525" s="248"/>
      <c r="P525" s="248"/>
      <c r="Q525" s="248"/>
      <c r="R525" s="248"/>
      <c r="S525" s="248"/>
    </row>
    <row r="526" ht="15.75" customHeight="1">
      <c r="O526" s="248"/>
      <c r="P526" s="248"/>
      <c r="Q526" s="248"/>
      <c r="R526" s="248"/>
      <c r="S526" s="248"/>
    </row>
    <row r="527" ht="15.75" customHeight="1">
      <c r="O527" s="248"/>
      <c r="P527" s="248"/>
      <c r="Q527" s="248"/>
      <c r="R527" s="248"/>
      <c r="S527" s="248"/>
    </row>
    <row r="528" ht="15.75" customHeight="1">
      <c r="O528" s="248"/>
      <c r="P528" s="248"/>
      <c r="Q528" s="248"/>
      <c r="R528" s="248"/>
      <c r="S528" s="248"/>
    </row>
    <row r="529" ht="15.75" customHeight="1">
      <c r="O529" s="248"/>
      <c r="P529" s="248"/>
      <c r="Q529" s="248"/>
      <c r="R529" s="248"/>
      <c r="S529" s="248"/>
    </row>
    <row r="530" ht="15.75" customHeight="1">
      <c r="O530" s="248"/>
      <c r="P530" s="248"/>
      <c r="Q530" s="248"/>
      <c r="R530" s="248"/>
      <c r="S530" s="248"/>
    </row>
    <row r="531" ht="15.75" customHeight="1">
      <c r="O531" s="248"/>
      <c r="P531" s="248"/>
      <c r="Q531" s="248"/>
      <c r="R531" s="248"/>
      <c r="S531" s="248"/>
    </row>
    <row r="532" ht="15.75" customHeight="1">
      <c r="O532" s="248"/>
      <c r="P532" s="248"/>
      <c r="Q532" s="248"/>
      <c r="R532" s="248"/>
      <c r="S532" s="248"/>
    </row>
    <row r="533" ht="15.75" customHeight="1">
      <c r="O533" s="248"/>
      <c r="P533" s="248"/>
      <c r="Q533" s="248"/>
      <c r="R533" s="248"/>
      <c r="S533" s="248"/>
    </row>
    <row r="534" ht="15.75" customHeight="1">
      <c r="O534" s="248"/>
      <c r="P534" s="248"/>
      <c r="Q534" s="248"/>
      <c r="R534" s="248"/>
      <c r="S534" s="248"/>
    </row>
    <row r="535" ht="15.75" customHeight="1">
      <c r="O535" s="248"/>
      <c r="P535" s="248"/>
      <c r="Q535" s="248"/>
      <c r="R535" s="248"/>
      <c r="S535" s="248"/>
    </row>
    <row r="536" ht="15.75" customHeight="1">
      <c r="O536" s="248"/>
      <c r="P536" s="248"/>
      <c r="Q536" s="248"/>
      <c r="R536" s="248"/>
      <c r="S536" s="248"/>
    </row>
    <row r="537" ht="15.75" customHeight="1">
      <c r="O537" s="248"/>
      <c r="P537" s="248"/>
      <c r="Q537" s="248"/>
      <c r="R537" s="248"/>
      <c r="S537" s="248"/>
    </row>
    <row r="538" ht="15.75" customHeight="1">
      <c r="O538" s="248"/>
      <c r="P538" s="248"/>
      <c r="Q538" s="248"/>
      <c r="R538" s="248"/>
      <c r="S538" s="248"/>
    </row>
    <row r="539" ht="15.75" customHeight="1">
      <c r="O539" s="248"/>
      <c r="P539" s="248"/>
      <c r="Q539" s="248"/>
      <c r="R539" s="248"/>
      <c r="S539" s="248"/>
    </row>
    <row r="540" ht="15.75" customHeight="1">
      <c r="O540" s="248"/>
      <c r="P540" s="248"/>
      <c r="Q540" s="248"/>
      <c r="R540" s="248"/>
      <c r="S540" s="248"/>
    </row>
    <row r="541" ht="15.75" customHeight="1">
      <c r="O541" s="248"/>
      <c r="P541" s="248"/>
      <c r="Q541" s="248"/>
      <c r="R541" s="248"/>
      <c r="S541" s="248"/>
    </row>
    <row r="542" ht="15.75" customHeight="1">
      <c r="O542" s="248"/>
      <c r="P542" s="248"/>
      <c r="Q542" s="248"/>
      <c r="R542" s="248"/>
      <c r="S542" s="248"/>
    </row>
    <row r="543" ht="15.75" customHeight="1">
      <c r="O543" s="248"/>
      <c r="P543" s="248"/>
      <c r="Q543" s="248"/>
      <c r="R543" s="248"/>
      <c r="S543" s="248"/>
    </row>
    <row r="544" ht="15.75" customHeight="1">
      <c r="O544" s="248"/>
      <c r="P544" s="248"/>
      <c r="Q544" s="248"/>
      <c r="R544" s="248"/>
      <c r="S544" s="248"/>
    </row>
    <row r="545" ht="15.75" customHeight="1">
      <c r="O545" s="248"/>
      <c r="P545" s="248"/>
      <c r="Q545" s="248"/>
      <c r="R545" s="248"/>
      <c r="S545" s="248"/>
    </row>
    <row r="546" ht="15.75" customHeight="1">
      <c r="O546" s="248"/>
      <c r="P546" s="248"/>
      <c r="Q546" s="248"/>
      <c r="R546" s="248"/>
      <c r="S546" s="248"/>
    </row>
    <row r="547" ht="15.75" customHeight="1">
      <c r="O547" s="248"/>
      <c r="P547" s="248"/>
      <c r="Q547" s="248"/>
      <c r="R547" s="248"/>
      <c r="S547" s="248"/>
    </row>
    <row r="548" ht="15.75" customHeight="1">
      <c r="O548" s="248"/>
      <c r="P548" s="248"/>
      <c r="Q548" s="248"/>
      <c r="R548" s="248"/>
      <c r="S548" s="248"/>
    </row>
    <row r="549" ht="15.75" customHeight="1">
      <c r="O549" s="248"/>
      <c r="P549" s="248"/>
      <c r="Q549" s="248"/>
      <c r="R549" s="248"/>
      <c r="S549" s="248"/>
    </row>
    <row r="550" ht="15.75" customHeight="1">
      <c r="O550" s="248"/>
      <c r="P550" s="248"/>
      <c r="Q550" s="248"/>
      <c r="R550" s="248"/>
      <c r="S550" s="248"/>
    </row>
    <row r="551" ht="15.75" customHeight="1">
      <c r="O551" s="248"/>
      <c r="P551" s="248"/>
      <c r="Q551" s="248"/>
      <c r="R551" s="248"/>
      <c r="S551" s="248"/>
    </row>
    <row r="552" ht="15.75" customHeight="1">
      <c r="O552" s="248"/>
      <c r="P552" s="248"/>
      <c r="Q552" s="248"/>
      <c r="R552" s="248"/>
      <c r="S552" s="248"/>
    </row>
    <row r="553" ht="15.75" customHeight="1">
      <c r="O553" s="248"/>
      <c r="P553" s="248"/>
      <c r="Q553" s="248"/>
      <c r="R553" s="248"/>
      <c r="S553" s="248"/>
    </row>
    <row r="554" ht="15.75" customHeight="1">
      <c r="O554" s="248"/>
      <c r="P554" s="248"/>
      <c r="Q554" s="248"/>
      <c r="R554" s="248"/>
      <c r="S554" s="248"/>
    </row>
    <row r="555" ht="15.75" customHeight="1">
      <c r="O555" s="248"/>
      <c r="P555" s="248"/>
      <c r="Q555" s="248"/>
      <c r="R555" s="248"/>
      <c r="S555" s="248"/>
    </row>
    <row r="556" ht="15.75" customHeight="1">
      <c r="O556" s="248"/>
      <c r="P556" s="248"/>
      <c r="Q556" s="248"/>
      <c r="R556" s="248"/>
      <c r="S556" s="248"/>
    </row>
    <row r="557" ht="15.75" customHeight="1">
      <c r="O557" s="248"/>
      <c r="P557" s="248"/>
      <c r="Q557" s="248"/>
      <c r="R557" s="248"/>
      <c r="S557" s="248"/>
    </row>
    <row r="558" ht="15.75" customHeight="1">
      <c r="O558" s="248"/>
      <c r="P558" s="248"/>
      <c r="Q558" s="248"/>
      <c r="R558" s="248"/>
      <c r="S558" s="248"/>
    </row>
    <row r="559" ht="15.75" customHeight="1">
      <c r="O559" s="248"/>
      <c r="P559" s="248"/>
      <c r="Q559" s="248"/>
      <c r="R559" s="248"/>
      <c r="S559" s="248"/>
    </row>
    <row r="560" ht="15.75" customHeight="1">
      <c r="O560" s="248"/>
      <c r="P560" s="248"/>
      <c r="Q560" s="248"/>
      <c r="R560" s="248"/>
      <c r="S560" s="248"/>
    </row>
    <row r="561" ht="15.75" customHeight="1">
      <c r="O561" s="248"/>
      <c r="P561" s="248"/>
      <c r="Q561" s="248"/>
      <c r="R561" s="248"/>
      <c r="S561" s="248"/>
    </row>
    <row r="562" ht="15.75" customHeight="1">
      <c r="O562" s="248"/>
      <c r="P562" s="248"/>
      <c r="Q562" s="248"/>
      <c r="R562" s="248"/>
      <c r="S562" s="248"/>
    </row>
    <row r="563" ht="15.75" customHeight="1">
      <c r="O563" s="248"/>
      <c r="P563" s="248"/>
      <c r="Q563" s="248"/>
      <c r="R563" s="248"/>
      <c r="S563" s="248"/>
    </row>
    <row r="564" ht="15.75" customHeight="1">
      <c r="O564" s="248"/>
      <c r="P564" s="248"/>
      <c r="Q564" s="248"/>
      <c r="R564" s="248"/>
      <c r="S564" s="248"/>
    </row>
    <row r="565" ht="15.75" customHeight="1">
      <c r="O565" s="248"/>
      <c r="P565" s="248"/>
      <c r="Q565" s="248"/>
      <c r="R565" s="248"/>
      <c r="S565" s="248"/>
    </row>
    <row r="566" ht="15.75" customHeight="1">
      <c r="O566" s="248"/>
      <c r="P566" s="248"/>
      <c r="Q566" s="248"/>
      <c r="R566" s="248"/>
      <c r="S566" s="248"/>
    </row>
    <row r="567" ht="15.75" customHeight="1">
      <c r="O567" s="248"/>
      <c r="P567" s="248"/>
      <c r="Q567" s="248"/>
      <c r="R567" s="248"/>
      <c r="S567" s="248"/>
    </row>
    <row r="568" ht="15.75" customHeight="1">
      <c r="O568" s="248"/>
      <c r="P568" s="248"/>
      <c r="Q568" s="248"/>
      <c r="R568" s="248"/>
      <c r="S568" s="248"/>
    </row>
    <row r="569" ht="15.75" customHeight="1">
      <c r="O569" s="248"/>
      <c r="P569" s="248"/>
      <c r="Q569" s="248"/>
      <c r="R569" s="248"/>
      <c r="S569" s="248"/>
    </row>
    <row r="570" ht="15.75" customHeight="1">
      <c r="O570" s="248"/>
      <c r="P570" s="248"/>
      <c r="Q570" s="248"/>
      <c r="R570" s="248"/>
      <c r="S570" s="248"/>
    </row>
    <row r="571" ht="15.75" customHeight="1">
      <c r="O571" s="248"/>
      <c r="P571" s="248"/>
      <c r="Q571" s="248"/>
      <c r="R571" s="248"/>
      <c r="S571" s="248"/>
    </row>
    <row r="572" ht="15.75" customHeight="1">
      <c r="O572" s="248"/>
      <c r="P572" s="248"/>
      <c r="Q572" s="248"/>
      <c r="R572" s="248"/>
      <c r="S572" s="248"/>
    </row>
    <row r="573" ht="15.75" customHeight="1">
      <c r="O573" s="248"/>
      <c r="P573" s="248"/>
      <c r="Q573" s="248"/>
      <c r="R573" s="248"/>
      <c r="S573" s="248"/>
    </row>
    <row r="574" ht="15.75" customHeight="1">
      <c r="O574" s="248"/>
      <c r="P574" s="248"/>
      <c r="Q574" s="248"/>
      <c r="R574" s="248"/>
      <c r="S574" s="248"/>
    </row>
    <row r="575" ht="15.75" customHeight="1">
      <c r="O575" s="248"/>
      <c r="P575" s="248"/>
      <c r="Q575" s="248"/>
      <c r="R575" s="248"/>
      <c r="S575" s="248"/>
    </row>
    <row r="576" ht="15.75" customHeight="1">
      <c r="O576" s="248"/>
      <c r="P576" s="248"/>
      <c r="Q576" s="248"/>
      <c r="R576" s="248"/>
      <c r="S576" s="248"/>
    </row>
    <row r="577" ht="15.75" customHeight="1">
      <c r="O577" s="248"/>
      <c r="P577" s="248"/>
      <c r="Q577" s="248"/>
      <c r="R577" s="248"/>
      <c r="S577" s="248"/>
    </row>
    <row r="578" ht="15.75" customHeight="1">
      <c r="O578" s="248"/>
      <c r="P578" s="248"/>
      <c r="Q578" s="248"/>
      <c r="R578" s="248"/>
      <c r="S578" s="248"/>
    </row>
    <row r="579" ht="15.75" customHeight="1">
      <c r="O579" s="248"/>
      <c r="P579" s="248"/>
      <c r="Q579" s="248"/>
      <c r="R579" s="248"/>
      <c r="S579" s="248"/>
    </row>
    <row r="580" ht="15.75" customHeight="1">
      <c r="O580" s="248"/>
      <c r="P580" s="248"/>
      <c r="Q580" s="248"/>
      <c r="R580" s="248"/>
      <c r="S580" s="248"/>
    </row>
    <row r="581" ht="15.75" customHeight="1">
      <c r="O581" s="248"/>
      <c r="P581" s="248"/>
      <c r="Q581" s="248"/>
      <c r="R581" s="248"/>
      <c r="S581" s="248"/>
    </row>
    <row r="582" ht="15.75" customHeight="1">
      <c r="O582" s="248"/>
      <c r="P582" s="248"/>
      <c r="Q582" s="248"/>
      <c r="R582" s="248"/>
      <c r="S582" s="248"/>
    </row>
    <row r="583" ht="15.75" customHeight="1">
      <c r="O583" s="248"/>
      <c r="P583" s="248"/>
      <c r="Q583" s="248"/>
      <c r="R583" s="248"/>
      <c r="S583" s="248"/>
    </row>
    <row r="584" ht="15.75" customHeight="1">
      <c r="O584" s="248"/>
      <c r="P584" s="248"/>
      <c r="Q584" s="248"/>
      <c r="R584" s="248"/>
      <c r="S584" s="248"/>
    </row>
    <row r="585" ht="15.75" customHeight="1">
      <c r="O585" s="248"/>
      <c r="P585" s="248"/>
      <c r="Q585" s="248"/>
      <c r="R585" s="248"/>
      <c r="S585" s="248"/>
    </row>
    <row r="586" ht="15.75" customHeight="1">
      <c r="O586" s="248"/>
      <c r="P586" s="248"/>
      <c r="Q586" s="248"/>
      <c r="R586" s="248"/>
      <c r="S586" s="248"/>
    </row>
    <row r="587" ht="15.75" customHeight="1">
      <c r="O587" s="248"/>
      <c r="P587" s="248"/>
      <c r="Q587" s="248"/>
      <c r="R587" s="248"/>
      <c r="S587" s="248"/>
    </row>
    <row r="588" ht="15.75" customHeight="1">
      <c r="O588" s="248"/>
      <c r="P588" s="248"/>
      <c r="Q588" s="248"/>
      <c r="R588" s="248"/>
      <c r="S588" s="248"/>
    </row>
    <row r="589" ht="15.75" customHeight="1">
      <c r="O589" s="248"/>
      <c r="P589" s="248"/>
      <c r="Q589" s="248"/>
      <c r="R589" s="248"/>
      <c r="S589" s="248"/>
    </row>
    <row r="590" ht="15.75" customHeight="1">
      <c r="O590" s="248"/>
      <c r="P590" s="248"/>
      <c r="Q590" s="248"/>
      <c r="R590" s="248"/>
      <c r="S590" s="248"/>
    </row>
    <row r="591" ht="15.75" customHeight="1">
      <c r="O591" s="248"/>
      <c r="P591" s="248"/>
      <c r="Q591" s="248"/>
      <c r="R591" s="248"/>
      <c r="S591" s="248"/>
    </row>
    <row r="592" ht="15.75" customHeight="1">
      <c r="O592" s="248"/>
      <c r="P592" s="248"/>
      <c r="Q592" s="248"/>
      <c r="R592" s="248"/>
      <c r="S592" s="248"/>
    </row>
    <row r="593" ht="15.75" customHeight="1">
      <c r="O593" s="248"/>
      <c r="P593" s="248"/>
      <c r="Q593" s="248"/>
      <c r="R593" s="248"/>
      <c r="S593" s="248"/>
    </row>
    <row r="594" ht="15.75" customHeight="1">
      <c r="O594" s="248"/>
      <c r="P594" s="248"/>
      <c r="Q594" s="248"/>
      <c r="R594" s="248"/>
      <c r="S594" s="248"/>
    </row>
    <row r="595" ht="15.75" customHeight="1">
      <c r="O595" s="248"/>
      <c r="P595" s="248"/>
      <c r="Q595" s="248"/>
      <c r="R595" s="248"/>
      <c r="S595" s="248"/>
    </row>
    <row r="596" ht="15.75" customHeight="1">
      <c r="O596" s="248"/>
      <c r="P596" s="248"/>
      <c r="Q596" s="248"/>
      <c r="R596" s="248"/>
      <c r="S596" s="248"/>
    </row>
    <row r="597" ht="15.75" customHeight="1">
      <c r="O597" s="248"/>
      <c r="P597" s="248"/>
      <c r="Q597" s="248"/>
      <c r="R597" s="248"/>
      <c r="S597" s="248"/>
    </row>
    <row r="598" ht="15.75" customHeight="1">
      <c r="O598" s="248"/>
      <c r="P598" s="248"/>
      <c r="Q598" s="248"/>
      <c r="R598" s="248"/>
      <c r="S598" s="248"/>
    </row>
    <row r="599" ht="15.75" customHeight="1">
      <c r="O599" s="248"/>
      <c r="P599" s="248"/>
      <c r="Q599" s="248"/>
      <c r="R599" s="248"/>
      <c r="S599" s="248"/>
    </row>
    <row r="600" ht="15.75" customHeight="1">
      <c r="O600" s="248"/>
      <c r="P600" s="248"/>
      <c r="Q600" s="248"/>
      <c r="R600" s="248"/>
      <c r="S600" s="248"/>
    </row>
    <row r="601" ht="15.75" customHeight="1">
      <c r="O601" s="248"/>
      <c r="P601" s="248"/>
      <c r="Q601" s="248"/>
      <c r="R601" s="248"/>
      <c r="S601" s="248"/>
    </row>
    <row r="602" ht="15.75" customHeight="1">
      <c r="O602" s="248"/>
      <c r="P602" s="248"/>
      <c r="Q602" s="248"/>
      <c r="R602" s="248"/>
      <c r="S602" s="248"/>
    </row>
    <row r="603" ht="15.75" customHeight="1">
      <c r="O603" s="248"/>
      <c r="P603" s="248"/>
      <c r="Q603" s="248"/>
      <c r="R603" s="248"/>
      <c r="S603" s="248"/>
    </row>
    <row r="604" ht="15.75" customHeight="1">
      <c r="O604" s="248"/>
      <c r="P604" s="248"/>
      <c r="Q604" s="248"/>
      <c r="R604" s="248"/>
      <c r="S604" s="248"/>
    </row>
    <row r="605" ht="15.75" customHeight="1">
      <c r="O605" s="248"/>
      <c r="P605" s="248"/>
      <c r="Q605" s="248"/>
      <c r="R605" s="248"/>
      <c r="S605" s="248"/>
    </row>
    <row r="606" ht="15.75" customHeight="1">
      <c r="O606" s="248"/>
      <c r="P606" s="248"/>
      <c r="Q606" s="248"/>
      <c r="R606" s="248"/>
      <c r="S606" s="248"/>
    </row>
    <row r="607" ht="15.75" customHeight="1">
      <c r="O607" s="248"/>
      <c r="P607" s="248"/>
      <c r="Q607" s="248"/>
      <c r="R607" s="248"/>
      <c r="S607" s="248"/>
    </row>
    <row r="608" ht="15.75" customHeight="1">
      <c r="O608" s="248"/>
      <c r="P608" s="248"/>
      <c r="Q608" s="248"/>
      <c r="R608" s="248"/>
      <c r="S608" s="248"/>
    </row>
    <row r="609" ht="15.75" customHeight="1">
      <c r="O609" s="248"/>
      <c r="P609" s="248"/>
      <c r="Q609" s="248"/>
      <c r="R609" s="248"/>
      <c r="S609" s="248"/>
    </row>
    <row r="610" ht="15.75" customHeight="1">
      <c r="O610" s="248"/>
      <c r="P610" s="248"/>
      <c r="Q610" s="248"/>
      <c r="R610" s="248"/>
      <c r="S610" s="248"/>
    </row>
    <row r="611" ht="15.75" customHeight="1">
      <c r="O611" s="248"/>
      <c r="P611" s="248"/>
      <c r="Q611" s="248"/>
      <c r="R611" s="248"/>
      <c r="S611" s="248"/>
    </row>
    <row r="612" ht="15.75" customHeight="1">
      <c r="O612" s="248"/>
      <c r="P612" s="248"/>
      <c r="Q612" s="248"/>
      <c r="R612" s="248"/>
      <c r="S612" s="248"/>
    </row>
    <row r="613" ht="15.75" customHeight="1">
      <c r="O613" s="248"/>
      <c r="P613" s="248"/>
      <c r="Q613" s="248"/>
      <c r="R613" s="248"/>
      <c r="S613" s="248"/>
    </row>
    <row r="614" ht="15.75" customHeight="1">
      <c r="O614" s="248"/>
      <c r="P614" s="248"/>
      <c r="Q614" s="248"/>
      <c r="R614" s="248"/>
      <c r="S614" s="248"/>
    </row>
    <row r="615" ht="15.75" customHeight="1">
      <c r="O615" s="248"/>
      <c r="P615" s="248"/>
      <c r="Q615" s="248"/>
      <c r="R615" s="248"/>
      <c r="S615" s="248"/>
    </row>
    <row r="616" ht="15.75" customHeight="1">
      <c r="O616" s="248"/>
      <c r="P616" s="248"/>
      <c r="Q616" s="248"/>
      <c r="R616" s="248"/>
      <c r="S616" s="248"/>
    </row>
    <row r="617" ht="15.75" customHeight="1">
      <c r="O617" s="248"/>
      <c r="P617" s="248"/>
      <c r="Q617" s="248"/>
      <c r="R617" s="248"/>
      <c r="S617" s="248"/>
    </row>
    <row r="618" ht="15.75" customHeight="1">
      <c r="O618" s="248"/>
      <c r="P618" s="248"/>
      <c r="Q618" s="248"/>
      <c r="R618" s="248"/>
      <c r="S618" s="248"/>
    </row>
    <row r="619" ht="15.75" customHeight="1">
      <c r="O619" s="248"/>
      <c r="P619" s="248"/>
      <c r="Q619" s="248"/>
      <c r="R619" s="248"/>
      <c r="S619" s="248"/>
    </row>
    <row r="620" ht="15.75" customHeight="1">
      <c r="O620" s="248"/>
      <c r="P620" s="248"/>
      <c r="Q620" s="248"/>
      <c r="R620" s="248"/>
      <c r="S620" s="248"/>
    </row>
    <row r="621" ht="15.75" customHeight="1">
      <c r="O621" s="248"/>
      <c r="P621" s="248"/>
      <c r="Q621" s="248"/>
      <c r="R621" s="248"/>
      <c r="S621" s="248"/>
    </row>
    <row r="622" ht="15.75" customHeight="1">
      <c r="O622" s="248"/>
      <c r="P622" s="248"/>
      <c r="Q622" s="248"/>
      <c r="R622" s="248"/>
      <c r="S622" s="248"/>
    </row>
    <row r="623" ht="15.75" customHeight="1">
      <c r="O623" s="248"/>
      <c r="P623" s="248"/>
      <c r="Q623" s="248"/>
      <c r="R623" s="248"/>
      <c r="S623" s="248"/>
    </row>
    <row r="624" ht="15.75" customHeight="1">
      <c r="O624" s="248"/>
      <c r="P624" s="248"/>
      <c r="Q624" s="248"/>
      <c r="R624" s="248"/>
      <c r="S624" s="248"/>
    </row>
    <row r="625" ht="15.75" customHeight="1">
      <c r="O625" s="248"/>
      <c r="P625" s="248"/>
      <c r="Q625" s="248"/>
      <c r="R625" s="248"/>
      <c r="S625" s="248"/>
    </row>
    <row r="626" ht="15.75" customHeight="1">
      <c r="O626" s="248"/>
      <c r="P626" s="248"/>
      <c r="Q626" s="248"/>
      <c r="R626" s="248"/>
      <c r="S626" s="248"/>
    </row>
    <row r="627" ht="15.75" customHeight="1">
      <c r="O627" s="248"/>
      <c r="P627" s="248"/>
      <c r="Q627" s="248"/>
      <c r="R627" s="248"/>
      <c r="S627" s="248"/>
    </row>
    <row r="628" ht="15.75" customHeight="1">
      <c r="O628" s="248"/>
      <c r="P628" s="248"/>
      <c r="Q628" s="248"/>
      <c r="R628" s="248"/>
      <c r="S628" s="248"/>
    </row>
    <row r="629" ht="15.75" customHeight="1">
      <c r="O629" s="248"/>
      <c r="P629" s="248"/>
      <c r="Q629" s="248"/>
      <c r="R629" s="248"/>
      <c r="S629" s="248"/>
    </row>
    <row r="630" ht="15.75" customHeight="1">
      <c r="O630" s="248"/>
      <c r="P630" s="248"/>
      <c r="Q630" s="248"/>
      <c r="R630" s="248"/>
      <c r="S630" s="248"/>
    </row>
    <row r="631" ht="15.75" customHeight="1">
      <c r="O631" s="248"/>
      <c r="P631" s="248"/>
      <c r="Q631" s="248"/>
      <c r="R631" s="248"/>
      <c r="S631" s="248"/>
    </row>
    <row r="632" ht="15.75" customHeight="1">
      <c r="O632" s="248"/>
      <c r="P632" s="248"/>
      <c r="Q632" s="248"/>
      <c r="R632" s="248"/>
      <c r="S632" s="248"/>
    </row>
    <row r="633" ht="15.75" customHeight="1">
      <c r="O633" s="248"/>
      <c r="P633" s="248"/>
      <c r="Q633" s="248"/>
      <c r="R633" s="248"/>
      <c r="S633" s="248"/>
    </row>
    <row r="634" ht="15.75" customHeight="1">
      <c r="O634" s="248"/>
      <c r="P634" s="248"/>
      <c r="Q634" s="248"/>
      <c r="R634" s="248"/>
      <c r="S634" s="248"/>
    </row>
    <row r="635" ht="15.75" customHeight="1">
      <c r="O635" s="248"/>
      <c r="P635" s="248"/>
      <c r="Q635" s="248"/>
      <c r="R635" s="248"/>
      <c r="S635" s="248"/>
    </row>
    <row r="636" ht="15.75" customHeight="1">
      <c r="O636" s="248"/>
      <c r="P636" s="248"/>
      <c r="Q636" s="248"/>
      <c r="R636" s="248"/>
      <c r="S636" s="248"/>
    </row>
    <row r="637" ht="15.75" customHeight="1">
      <c r="O637" s="248"/>
      <c r="P637" s="248"/>
      <c r="Q637" s="248"/>
      <c r="R637" s="248"/>
      <c r="S637" s="248"/>
    </row>
    <row r="638" ht="15.75" customHeight="1">
      <c r="O638" s="248"/>
      <c r="P638" s="248"/>
      <c r="Q638" s="248"/>
      <c r="R638" s="248"/>
      <c r="S638" s="248"/>
    </row>
    <row r="639" ht="15.75" customHeight="1">
      <c r="O639" s="248"/>
      <c r="P639" s="248"/>
      <c r="Q639" s="248"/>
      <c r="R639" s="248"/>
      <c r="S639" s="248"/>
    </row>
    <row r="640" ht="15.75" customHeight="1">
      <c r="O640" s="248"/>
      <c r="P640" s="248"/>
      <c r="Q640" s="248"/>
      <c r="R640" s="248"/>
      <c r="S640" s="248"/>
    </row>
    <row r="641" ht="15.75" customHeight="1">
      <c r="O641" s="248"/>
      <c r="P641" s="248"/>
      <c r="Q641" s="248"/>
      <c r="R641" s="248"/>
      <c r="S641" s="248"/>
    </row>
    <row r="642" ht="15.75" customHeight="1">
      <c r="O642" s="248"/>
      <c r="P642" s="248"/>
      <c r="Q642" s="248"/>
      <c r="R642" s="248"/>
      <c r="S642" s="248"/>
    </row>
    <row r="643" ht="15.75" customHeight="1">
      <c r="O643" s="248"/>
      <c r="P643" s="248"/>
      <c r="Q643" s="248"/>
      <c r="R643" s="248"/>
      <c r="S643" s="248"/>
    </row>
    <row r="644" ht="15.75" customHeight="1">
      <c r="O644" s="248"/>
      <c r="P644" s="248"/>
      <c r="Q644" s="248"/>
      <c r="R644" s="248"/>
      <c r="S644" s="248"/>
    </row>
    <row r="645" ht="15.75" customHeight="1">
      <c r="O645" s="248"/>
      <c r="P645" s="248"/>
      <c r="Q645" s="248"/>
      <c r="R645" s="248"/>
      <c r="S645" s="248"/>
    </row>
    <row r="646" ht="15.75" customHeight="1">
      <c r="O646" s="248"/>
      <c r="P646" s="248"/>
      <c r="Q646" s="248"/>
      <c r="R646" s="248"/>
      <c r="S646" s="248"/>
    </row>
    <row r="647" ht="15.75" customHeight="1">
      <c r="O647" s="248"/>
      <c r="P647" s="248"/>
      <c r="Q647" s="248"/>
      <c r="R647" s="248"/>
      <c r="S647" s="248"/>
    </row>
    <row r="648" ht="15.75" customHeight="1">
      <c r="O648" s="248"/>
      <c r="P648" s="248"/>
      <c r="Q648" s="248"/>
      <c r="R648" s="248"/>
      <c r="S648" s="248"/>
    </row>
    <row r="649" ht="15.75" customHeight="1">
      <c r="O649" s="248"/>
      <c r="P649" s="248"/>
      <c r="Q649" s="248"/>
      <c r="R649" s="248"/>
      <c r="S649" s="248"/>
    </row>
    <row r="650" ht="15.75" customHeight="1">
      <c r="O650" s="248"/>
      <c r="P650" s="248"/>
      <c r="Q650" s="248"/>
      <c r="R650" s="248"/>
      <c r="S650" s="248"/>
    </row>
    <row r="651" ht="15.75" customHeight="1">
      <c r="O651" s="248"/>
      <c r="P651" s="248"/>
      <c r="Q651" s="248"/>
      <c r="R651" s="248"/>
      <c r="S651" s="248"/>
    </row>
    <row r="652" ht="15.75" customHeight="1">
      <c r="O652" s="248"/>
      <c r="P652" s="248"/>
      <c r="Q652" s="248"/>
      <c r="R652" s="248"/>
      <c r="S652" s="248"/>
    </row>
    <row r="653" ht="15.75" customHeight="1">
      <c r="O653" s="248"/>
      <c r="P653" s="248"/>
      <c r="Q653" s="248"/>
      <c r="R653" s="248"/>
      <c r="S653" s="248"/>
    </row>
    <row r="654" ht="15.75" customHeight="1">
      <c r="O654" s="248"/>
      <c r="P654" s="248"/>
      <c r="Q654" s="248"/>
      <c r="R654" s="248"/>
      <c r="S654" s="248"/>
    </row>
    <row r="655" ht="15.75" customHeight="1">
      <c r="O655" s="248"/>
      <c r="P655" s="248"/>
      <c r="Q655" s="248"/>
      <c r="R655" s="248"/>
      <c r="S655" s="248"/>
    </row>
    <row r="656" ht="15.75" customHeight="1">
      <c r="O656" s="248"/>
      <c r="P656" s="248"/>
      <c r="Q656" s="248"/>
      <c r="R656" s="248"/>
      <c r="S656" s="248"/>
    </row>
    <row r="657" ht="15.75" customHeight="1">
      <c r="O657" s="248"/>
      <c r="P657" s="248"/>
      <c r="Q657" s="248"/>
      <c r="R657" s="248"/>
      <c r="S657" s="248"/>
    </row>
    <row r="658" ht="15.75" customHeight="1">
      <c r="O658" s="248"/>
      <c r="P658" s="248"/>
      <c r="Q658" s="248"/>
      <c r="R658" s="248"/>
      <c r="S658" s="248"/>
    </row>
    <row r="659" ht="15.75" customHeight="1">
      <c r="O659" s="248"/>
      <c r="P659" s="248"/>
      <c r="Q659" s="248"/>
      <c r="R659" s="248"/>
      <c r="S659" s="248"/>
    </row>
    <row r="660" ht="15.75" customHeight="1">
      <c r="O660" s="248"/>
      <c r="P660" s="248"/>
      <c r="Q660" s="248"/>
      <c r="R660" s="248"/>
      <c r="S660" s="248"/>
    </row>
    <row r="661" ht="15.75" customHeight="1">
      <c r="O661" s="248"/>
      <c r="P661" s="248"/>
      <c r="Q661" s="248"/>
      <c r="R661" s="248"/>
      <c r="S661" s="248"/>
    </row>
    <row r="662" ht="15.75" customHeight="1">
      <c r="O662" s="248"/>
      <c r="P662" s="248"/>
      <c r="Q662" s="248"/>
      <c r="R662" s="248"/>
      <c r="S662" s="248"/>
    </row>
    <row r="663" ht="15.75" customHeight="1">
      <c r="O663" s="248"/>
      <c r="P663" s="248"/>
      <c r="Q663" s="248"/>
      <c r="R663" s="248"/>
      <c r="S663" s="248"/>
    </row>
    <row r="664" ht="15.75" customHeight="1">
      <c r="O664" s="248"/>
      <c r="P664" s="248"/>
      <c r="Q664" s="248"/>
      <c r="R664" s="248"/>
      <c r="S664" s="248"/>
    </row>
    <row r="665" ht="15.75" customHeight="1">
      <c r="O665" s="248"/>
      <c r="P665" s="248"/>
      <c r="Q665" s="248"/>
      <c r="R665" s="248"/>
      <c r="S665" s="248"/>
    </row>
    <row r="666" ht="15.75" customHeight="1">
      <c r="O666" s="248"/>
      <c r="P666" s="248"/>
      <c r="Q666" s="248"/>
      <c r="R666" s="248"/>
      <c r="S666" s="248"/>
    </row>
    <row r="667" ht="15.75" customHeight="1">
      <c r="O667" s="248"/>
      <c r="P667" s="248"/>
      <c r="Q667" s="248"/>
      <c r="R667" s="248"/>
      <c r="S667" s="248"/>
    </row>
    <row r="668" ht="15.75" customHeight="1">
      <c r="O668" s="248"/>
      <c r="P668" s="248"/>
      <c r="Q668" s="248"/>
      <c r="R668" s="248"/>
      <c r="S668" s="248"/>
    </row>
    <row r="669" ht="15.75" customHeight="1">
      <c r="O669" s="248"/>
      <c r="P669" s="248"/>
      <c r="Q669" s="248"/>
      <c r="R669" s="248"/>
      <c r="S669" s="248"/>
    </row>
    <row r="670" ht="15.75" customHeight="1">
      <c r="O670" s="248"/>
      <c r="P670" s="248"/>
      <c r="Q670" s="248"/>
      <c r="R670" s="248"/>
      <c r="S670" s="248"/>
    </row>
    <row r="671" ht="15.75" customHeight="1">
      <c r="O671" s="248"/>
      <c r="P671" s="248"/>
      <c r="Q671" s="248"/>
      <c r="R671" s="248"/>
      <c r="S671" s="248"/>
    </row>
    <row r="672" ht="15.75" customHeight="1">
      <c r="O672" s="248"/>
      <c r="P672" s="248"/>
      <c r="Q672" s="248"/>
      <c r="R672" s="248"/>
      <c r="S672" s="248"/>
    </row>
    <row r="673" ht="15.75" customHeight="1">
      <c r="O673" s="248"/>
      <c r="P673" s="248"/>
      <c r="Q673" s="248"/>
      <c r="R673" s="248"/>
      <c r="S673" s="248"/>
    </row>
    <row r="674" ht="15.75" customHeight="1">
      <c r="O674" s="248"/>
      <c r="P674" s="248"/>
      <c r="Q674" s="248"/>
      <c r="R674" s="248"/>
      <c r="S674" s="248"/>
    </row>
    <row r="675" ht="15.75" customHeight="1">
      <c r="O675" s="248"/>
      <c r="P675" s="248"/>
      <c r="Q675" s="248"/>
      <c r="R675" s="248"/>
      <c r="S675" s="248"/>
    </row>
    <row r="676" ht="15.75" customHeight="1">
      <c r="O676" s="248"/>
      <c r="P676" s="248"/>
      <c r="Q676" s="248"/>
      <c r="R676" s="248"/>
      <c r="S676" s="248"/>
    </row>
    <row r="677" ht="15.75" customHeight="1">
      <c r="O677" s="248"/>
      <c r="P677" s="248"/>
      <c r="Q677" s="248"/>
      <c r="R677" s="248"/>
      <c r="S677" s="248"/>
    </row>
    <row r="678" ht="15.75" customHeight="1">
      <c r="O678" s="248"/>
      <c r="P678" s="248"/>
      <c r="Q678" s="248"/>
      <c r="R678" s="248"/>
      <c r="S678" s="248"/>
    </row>
    <row r="679" ht="15.75" customHeight="1">
      <c r="O679" s="248"/>
      <c r="P679" s="248"/>
      <c r="Q679" s="248"/>
      <c r="R679" s="248"/>
      <c r="S679" s="248"/>
    </row>
    <row r="680" ht="15.75" customHeight="1">
      <c r="O680" s="248"/>
      <c r="P680" s="248"/>
      <c r="Q680" s="248"/>
      <c r="R680" s="248"/>
      <c r="S680" s="248"/>
    </row>
    <row r="681" ht="15.75" customHeight="1">
      <c r="O681" s="248"/>
      <c r="P681" s="248"/>
      <c r="Q681" s="248"/>
      <c r="R681" s="248"/>
      <c r="S681" s="248"/>
    </row>
    <row r="682" ht="15.75" customHeight="1">
      <c r="O682" s="248"/>
      <c r="P682" s="248"/>
      <c r="Q682" s="248"/>
      <c r="R682" s="248"/>
      <c r="S682" s="248"/>
    </row>
    <row r="683" ht="15.75" customHeight="1">
      <c r="O683" s="248"/>
      <c r="P683" s="248"/>
      <c r="Q683" s="248"/>
      <c r="R683" s="248"/>
      <c r="S683" s="248"/>
    </row>
    <row r="684" ht="15.75" customHeight="1">
      <c r="O684" s="248"/>
      <c r="P684" s="248"/>
      <c r="Q684" s="248"/>
      <c r="R684" s="248"/>
      <c r="S684" s="248"/>
    </row>
    <row r="685" ht="15.75" customHeight="1">
      <c r="O685" s="248"/>
      <c r="P685" s="248"/>
      <c r="Q685" s="248"/>
      <c r="R685" s="248"/>
      <c r="S685" s="248"/>
    </row>
    <row r="686" ht="15.75" customHeight="1">
      <c r="O686" s="248"/>
      <c r="P686" s="248"/>
      <c r="Q686" s="248"/>
      <c r="R686" s="248"/>
      <c r="S686" s="248"/>
    </row>
    <row r="687" ht="15.75" customHeight="1">
      <c r="O687" s="248"/>
      <c r="P687" s="248"/>
      <c r="Q687" s="248"/>
      <c r="R687" s="248"/>
      <c r="S687" s="248"/>
    </row>
    <row r="688" ht="15.75" customHeight="1">
      <c r="O688" s="248"/>
      <c r="P688" s="248"/>
      <c r="Q688" s="248"/>
      <c r="R688" s="248"/>
      <c r="S688" s="248"/>
    </row>
    <row r="689" ht="15.75" customHeight="1">
      <c r="O689" s="248"/>
      <c r="P689" s="248"/>
      <c r="Q689" s="248"/>
      <c r="R689" s="248"/>
      <c r="S689" s="248"/>
    </row>
    <row r="690" ht="15.75" customHeight="1">
      <c r="O690" s="248"/>
      <c r="P690" s="248"/>
      <c r="Q690" s="248"/>
      <c r="R690" s="248"/>
      <c r="S690" s="248"/>
    </row>
    <row r="691" ht="15.75" customHeight="1">
      <c r="O691" s="248"/>
      <c r="P691" s="248"/>
      <c r="Q691" s="248"/>
      <c r="R691" s="248"/>
      <c r="S691" s="248"/>
    </row>
    <row r="692" ht="15.75" customHeight="1">
      <c r="O692" s="248"/>
      <c r="P692" s="248"/>
      <c r="Q692" s="248"/>
      <c r="R692" s="248"/>
      <c r="S692" s="248"/>
    </row>
    <row r="693" ht="15.75" customHeight="1">
      <c r="O693" s="248"/>
      <c r="P693" s="248"/>
      <c r="Q693" s="248"/>
      <c r="R693" s="248"/>
      <c r="S693" s="248"/>
    </row>
    <row r="694" ht="15.75" customHeight="1">
      <c r="O694" s="248"/>
      <c r="P694" s="248"/>
      <c r="Q694" s="248"/>
      <c r="R694" s="248"/>
      <c r="S694" s="248"/>
    </row>
    <row r="695" ht="15.75" customHeight="1">
      <c r="O695" s="248"/>
      <c r="P695" s="248"/>
      <c r="Q695" s="248"/>
      <c r="R695" s="248"/>
      <c r="S695" s="248"/>
    </row>
    <row r="696" ht="15.75" customHeight="1">
      <c r="O696" s="248"/>
      <c r="P696" s="248"/>
      <c r="Q696" s="248"/>
      <c r="R696" s="248"/>
      <c r="S696" s="248"/>
    </row>
    <row r="697" ht="15.75" customHeight="1">
      <c r="O697" s="248"/>
      <c r="P697" s="248"/>
      <c r="Q697" s="248"/>
      <c r="R697" s="248"/>
      <c r="S697" s="248"/>
    </row>
    <row r="698" ht="15.75" customHeight="1">
      <c r="O698" s="248"/>
      <c r="P698" s="248"/>
      <c r="Q698" s="248"/>
      <c r="R698" s="248"/>
      <c r="S698" s="248"/>
    </row>
    <row r="699" ht="15.75" customHeight="1">
      <c r="O699" s="248"/>
      <c r="P699" s="248"/>
      <c r="Q699" s="248"/>
      <c r="R699" s="248"/>
      <c r="S699" s="248"/>
    </row>
    <row r="700" ht="15.75" customHeight="1">
      <c r="O700" s="248"/>
      <c r="P700" s="248"/>
      <c r="Q700" s="248"/>
      <c r="R700" s="248"/>
      <c r="S700" s="248"/>
    </row>
    <row r="701" ht="15.75" customHeight="1">
      <c r="O701" s="248"/>
      <c r="P701" s="248"/>
      <c r="Q701" s="248"/>
      <c r="R701" s="248"/>
      <c r="S701" s="248"/>
    </row>
    <row r="702" ht="15.75" customHeight="1">
      <c r="O702" s="248"/>
      <c r="P702" s="248"/>
      <c r="Q702" s="248"/>
      <c r="R702" s="248"/>
      <c r="S702" s="248"/>
    </row>
    <row r="703" ht="15.75" customHeight="1">
      <c r="O703" s="248"/>
      <c r="P703" s="248"/>
      <c r="Q703" s="248"/>
      <c r="R703" s="248"/>
      <c r="S703" s="248"/>
    </row>
    <row r="704" ht="15.75" customHeight="1">
      <c r="O704" s="248"/>
      <c r="P704" s="248"/>
      <c r="Q704" s="248"/>
      <c r="R704" s="248"/>
      <c r="S704" s="248"/>
    </row>
    <row r="705" ht="15.75" customHeight="1">
      <c r="O705" s="248"/>
      <c r="P705" s="248"/>
      <c r="Q705" s="248"/>
      <c r="R705" s="248"/>
      <c r="S705" s="248"/>
    </row>
    <row r="706" ht="15.75" customHeight="1">
      <c r="O706" s="248"/>
      <c r="P706" s="248"/>
      <c r="Q706" s="248"/>
      <c r="R706" s="248"/>
      <c r="S706" s="248"/>
    </row>
    <row r="707" ht="15.75" customHeight="1">
      <c r="O707" s="248"/>
      <c r="P707" s="248"/>
      <c r="Q707" s="248"/>
      <c r="R707" s="248"/>
      <c r="S707" s="248"/>
    </row>
    <row r="708" ht="15.75" customHeight="1">
      <c r="O708" s="248"/>
      <c r="P708" s="248"/>
      <c r="Q708" s="248"/>
      <c r="R708" s="248"/>
      <c r="S708" s="248"/>
    </row>
    <row r="709" ht="15.75" customHeight="1">
      <c r="O709" s="248"/>
      <c r="P709" s="248"/>
      <c r="Q709" s="248"/>
      <c r="R709" s="248"/>
      <c r="S709" s="248"/>
    </row>
    <row r="710" ht="15.75" customHeight="1">
      <c r="O710" s="248"/>
      <c r="P710" s="248"/>
      <c r="Q710" s="248"/>
      <c r="R710" s="248"/>
      <c r="S710" s="248"/>
    </row>
    <row r="711" ht="15.75" customHeight="1">
      <c r="O711" s="248"/>
      <c r="P711" s="248"/>
      <c r="Q711" s="248"/>
      <c r="R711" s="248"/>
      <c r="S711" s="248"/>
    </row>
    <row r="712" ht="15.75" customHeight="1">
      <c r="O712" s="248"/>
      <c r="P712" s="248"/>
      <c r="Q712" s="248"/>
      <c r="R712" s="248"/>
      <c r="S712" s="248"/>
    </row>
    <row r="713" ht="15.75" customHeight="1">
      <c r="O713" s="248"/>
      <c r="P713" s="248"/>
      <c r="Q713" s="248"/>
      <c r="R713" s="248"/>
      <c r="S713" s="248"/>
    </row>
    <row r="714" ht="15.75" customHeight="1">
      <c r="O714" s="248"/>
      <c r="P714" s="248"/>
      <c r="Q714" s="248"/>
      <c r="R714" s="248"/>
      <c r="S714" s="248"/>
    </row>
    <row r="715" ht="15.75" customHeight="1">
      <c r="O715" s="248"/>
      <c r="P715" s="248"/>
      <c r="Q715" s="248"/>
      <c r="R715" s="248"/>
      <c r="S715" s="248"/>
    </row>
    <row r="716" ht="15.75" customHeight="1">
      <c r="O716" s="248"/>
      <c r="P716" s="248"/>
      <c r="Q716" s="248"/>
      <c r="R716" s="248"/>
      <c r="S716" s="248"/>
    </row>
    <row r="717" ht="15.75" customHeight="1">
      <c r="O717" s="248"/>
      <c r="P717" s="248"/>
      <c r="Q717" s="248"/>
      <c r="R717" s="248"/>
      <c r="S717" s="248"/>
    </row>
    <row r="718" ht="15.75" customHeight="1">
      <c r="O718" s="248"/>
      <c r="P718" s="248"/>
      <c r="Q718" s="248"/>
      <c r="R718" s="248"/>
      <c r="S718" s="248"/>
    </row>
    <row r="719" ht="15.75" customHeight="1">
      <c r="O719" s="248"/>
      <c r="P719" s="248"/>
      <c r="Q719" s="248"/>
      <c r="R719" s="248"/>
      <c r="S719" s="248"/>
    </row>
    <row r="720" ht="15.75" customHeight="1">
      <c r="O720" s="248"/>
      <c r="P720" s="248"/>
      <c r="Q720" s="248"/>
      <c r="R720" s="248"/>
      <c r="S720" s="248"/>
    </row>
    <row r="721" ht="15.75" customHeight="1">
      <c r="O721" s="248"/>
      <c r="P721" s="248"/>
      <c r="Q721" s="248"/>
      <c r="R721" s="248"/>
      <c r="S721" s="248"/>
    </row>
    <row r="722" ht="15.75" customHeight="1">
      <c r="O722" s="248"/>
      <c r="P722" s="248"/>
      <c r="Q722" s="248"/>
      <c r="R722" s="248"/>
      <c r="S722" s="248"/>
    </row>
    <row r="723" ht="15.75" customHeight="1">
      <c r="O723" s="248"/>
      <c r="P723" s="248"/>
      <c r="Q723" s="248"/>
      <c r="R723" s="248"/>
      <c r="S723" s="248"/>
    </row>
    <row r="724" ht="15.75" customHeight="1">
      <c r="O724" s="248"/>
      <c r="P724" s="248"/>
      <c r="Q724" s="248"/>
      <c r="R724" s="248"/>
      <c r="S724" s="248"/>
    </row>
    <row r="725" ht="15.75" customHeight="1">
      <c r="O725" s="248"/>
      <c r="P725" s="248"/>
      <c r="Q725" s="248"/>
      <c r="R725" s="248"/>
      <c r="S725" s="248"/>
    </row>
    <row r="726" ht="15.75" customHeight="1">
      <c r="O726" s="248"/>
      <c r="P726" s="248"/>
      <c r="Q726" s="248"/>
      <c r="R726" s="248"/>
      <c r="S726" s="248"/>
    </row>
    <row r="727" ht="15.75" customHeight="1">
      <c r="O727" s="248"/>
      <c r="P727" s="248"/>
      <c r="Q727" s="248"/>
      <c r="R727" s="248"/>
      <c r="S727" s="248"/>
    </row>
    <row r="728" ht="15.75" customHeight="1">
      <c r="O728" s="248"/>
      <c r="P728" s="248"/>
      <c r="Q728" s="248"/>
      <c r="R728" s="248"/>
      <c r="S728" s="248"/>
    </row>
    <row r="729" ht="15.75" customHeight="1">
      <c r="O729" s="248"/>
      <c r="P729" s="248"/>
      <c r="Q729" s="248"/>
      <c r="R729" s="248"/>
      <c r="S729" s="248"/>
    </row>
    <row r="730" ht="15.75" customHeight="1">
      <c r="O730" s="248"/>
      <c r="P730" s="248"/>
      <c r="Q730" s="248"/>
      <c r="R730" s="248"/>
      <c r="S730" s="248"/>
    </row>
    <row r="731" ht="15.75" customHeight="1">
      <c r="O731" s="248"/>
      <c r="P731" s="248"/>
      <c r="Q731" s="248"/>
      <c r="R731" s="248"/>
      <c r="S731" s="248"/>
    </row>
    <row r="732" ht="15.75" customHeight="1">
      <c r="O732" s="248"/>
      <c r="P732" s="248"/>
      <c r="Q732" s="248"/>
      <c r="R732" s="248"/>
      <c r="S732" s="248"/>
    </row>
    <row r="733" ht="15.75" customHeight="1">
      <c r="O733" s="248"/>
      <c r="P733" s="248"/>
      <c r="Q733" s="248"/>
      <c r="R733" s="248"/>
      <c r="S733" s="248"/>
    </row>
    <row r="734" ht="15.75" customHeight="1">
      <c r="O734" s="248"/>
      <c r="P734" s="248"/>
      <c r="Q734" s="248"/>
      <c r="R734" s="248"/>
      <c r="S734" s="248"/>
    </row>
    <row r="735" ht="15.75" customHeight="1">
      <c r="O735" s="248"/>
      <c r="P735" s="248"/>
      <c r="Q735" s="248"/>
      <c r="R735" s="248"/>
      <c r="S735" s="248"/>
    </row>
    <row r="736" ht="15.75" customHeight="1">
      <c r="O736" s="248"/>
      <c r="P736" s="248"/>
      <c r="Q736" s="248"/>
      <c r="R736" s="248"/>
      <c r="S736" s="248"/>
    </row>
    <row r="737" ht="15.75" customHeight="1">
      <c r="O737" s="248"/>
      <c r="P737" s="248"/>
      <c r="Q737" s="248"/>
      <c r="R737" s="248"/>
      <c r="S737" s="248"/>
    </row>
    <row r="738" ht="15.75" customHeight="1">
      <c r="O738" s="248"/>
      <c r="P738" s="248"/>
      <c r="Q738" s="248"/>
      <c r="R738" s="248"/>
      <c r="S738" s="248"/>
    </row>
    <row r="739" ht="15.75" customHeight="1">
      <c r="O739" s="248"/>
      <c r="P739" s="248"/>
      <c r="Q739" s="248"/>
      <c r="R739" s="248"/>
      <c r="S739" s="248"/>
    </row>
    <row r="740" ht="15.75" customHeight="1">
      <c r="O740" s="248"/>
      <c r="P740" s="248"/>
      <c r="Q740" s="248"/>
      <c r="R740" s="248"/>
      <c r="S740" s="248"/>
    </row>
    <row r="741" ht="15.75" customHeight="1">
      <c r="O741" s="248"/>
      <c r="P741" s="248"/>
      <c r="Q741" s="248"/>
      <c r="R741" s="248"/>
      <c r="S741" s="248"/>
    </row>
    <row r="742" ht="15.75" customHeight="1">
      <c r="O742" s="248"/>
      <c r="P742" s="248"/>
      <c r="Q742" s="248"/>
      <c r="R742" s="248"/>
      <c r="S742" s="248"/>
    </row>
    <row r="743" ht="15.75" customHeight="1">
      <c r="O743" s="248"/>
      <c r="P743" s="248"/>
      <c r="Q743" s="248"/>
      <c r="R743" s="248"/>
      <c r="S743" s="248"/>
    </row>
    <row r="744" ht="15.75" customHeight="1">
      <c r="O744" s="248"/>
      <c r="P744" s="248"/>
      <c r="Q744" s="248"/>
      <c r="R744" s="248"/>
      <c r="S744" s="248"/>
    </row>
    <row r="745" ht="15.75" customHeight="1">
      <c r="O745" s="248"/>
      <c r="P745" s="248"/>
      <c r="Q745" s="248"/>
      <c r="R745" s="248"/>
      <c r="S745" s="248"/>
    </row>
    <row r="746" ht="15.75" customHeight="1">
      <c r="O746" s="248"/>
      <c r="P746" s="248"/>
      <c r="Q746" s="248"/>
      <c r="R746" s="248"/>
      <c r="S746" s="248"/>
    </row>
    <row r="747" ht="15.75" customHeight="1">
      <c r="O747" s="248"/>
      <c r="P747" s="248"/>
      <c r="Q747" s="248"/>
      <c r="R747" s="248"/>
      <c r="S747" s="248"/>
    </row>
    <row r="748" ht="15.75" customHeight="1">
      <c r="O748" s="248"/>
      <c r="P748" s="248"/>
      <c r="Q748" s="248"/>
      <c r="R748" s="248"/>
      <c r="S748" s="248"/>
    </row>
    <row r="749" ht="15.75" customHeight="1">
      <c r="O749" s="248"/>
      <c r="P749" s="248"/>
      <c r="Q749" s="248"/>
      <c r="R749" s="248"/>
      <c r="S749" s="248"/>
    </row>
    <row r="750" ht="15.75" customHeight="1">
      <c r="O750" s="248"/>
      <c r="P750" s="248"/>
      <c r="Q750" s="248"/>
      <c r="R750" s="248"/>
      <c r="S750" s="248"/>
    </row>
    <row r="751" ht="15.75" customHeight="1">
      <c r="O751" s="248"/>
      <c r="P751" s="248"/>
      <c r="Q751" s="248"/>
      <c r="R751" s="248"/>
      <c r="S751" s="248"/>
    </row>
    <row r="752" ht="15.75" customHeight="1">
      <c r="O752" s="248"/>
      <c r="P752" s="248"/>
      <c r="Q752" s="248"/>
      <c r="R752" s="248"/>
      <c r="S752" s="248"/>
    </row>
    <row r="753" ht="15.75" customHeight="1">
      <c r="O753" s="248"/>
      <c r="P753" s="248"/>
      <c r="Q753" s="248"/>
      <c r="R753" s="248"/>
      <c r="S753" s="248"/>
    </row>
    <row r="754" ht="15.75" customHeight="1">
      <c r="O754" s="248"/>
      <c r="P754" s="248"/>
      <c r="Q754" s="248"/>
      <c r="R754" s="248"/>
      <c r="S754" s="248"/>
    </row>
    <row r="755" ht="15.75" customHeight="1">
      <c r="O755" s="248"/>
      <c r="P755" s="248"/>
      <c r="Q755" s="248"/>
      <c r="R755" s="248"/>
      <c r="S755" s="248"/>
    </row>
    <row r="756" ht="15.75" customHeight="1">
      <c r="O756" s="248"/>
      <c r="P756" s="248"/>
      <c r="Q756" s="248"/>
      <c r="R756" s="248"/>
      <c r="S756" s="248"/>
    </row>
    <row r="757" ht="15.75" customHeight="1">
      <c r="O757" s="248"/>
      <c r="P757" s="248"/>
      <c r="Q757" s="248"/>
      <c r="R757" s="248"/>
      <c r="S757" s="248"/>
    </row>
    <row r="758" ht="15.75" customHeight="1">
      <c r="O758" s="248"/>
      <c r="P758" s="248"/>
      <c r="Q758" s="248"/>
      <c r="R758" s="248"/>
      <c r="S758" s="248"/>
    </row>
    <row r="759" ht="15.75" customHeight="1">
      <c r="O759" s="248"/>
      <c r="P759" s="248"/>
      <c r="Q759" s="248"/>
      <c r="R759" s="248"/>
      <c r="S759" s="248"/>
    </row>
    <row r="760" ht="15.75" customHeight="1">
      <c r="O760" s="248"/>
      <c r="P760" s="248"/>
      <c r="Q760" s="248"/>
      <c r="R760" s="248"/>
      <c r="S760" s="248"/>
    </row>
    <row r="761" ht="15.75" customHeight="1">
      <c r="O761" s="248"/>
      <c r="P761" s="248"/>
      <c r="Q761" s="248"/>
      <c r="R761" s="248"/>
      <c r="S761" s="248"/>
    </row>
    <row r="762" ht="15.75" customHeight="1">
      <c r="O762" s="248"/>
      <c r="P762" s="248"/>
      <c r="Q762" s="248"/>
      <c r="R762" s="248"/>
      <c r="S762" s="248"/>
    </row>
    <row r="763" ht="15.75" customHeight="1">
      <c r="O763" s="248"/>
      <c r="P763" s="248"/>
      <c r="Q763" s="248"/>
      <c r="R763" s="248"/>
      <c r="S763" s="248"/>
    </row>
    <row r="764" ht="15.75" customHeight="1">
      <c r="O764" s="248"/>
      <c r="P764" s="248"/>
      <c r="Q764" s="248"/>
      <c r="R764" s="248"/>
      <c r="S764" s="248"/>
    </row>
    <row r="765" ht="15.75" customHeight="1">
      <c r="O765" s="248"/>
      <c r="P765" s="248"/>
      <c r="Q765" s="248"/>
      <c r="R765" s="248"/>
      <c r="S765" s="248"/>
    </row>
    <row r="766" ht="15.75" customHeight="1">
      <c r="O766" s="248"/>
      <c r="P766" s="248"/>
      <c r="Q766" s="248"/>
      <c r="R766" s="248"/>
      <c r="S766" s="248"/>
    </row>
    <row r="767" ht="15.75" customHeight="1">
      <c r="O767" s="248"/>
      <c r="P767" s="248"/>
      <c r="Q767" s="248"/>
      <c r="R767" s="248"/>
      <c r="S767" s="248"/>
    </row>
    <row r="768" ht="15.75" customHeight="1">
      <c r="O768" s="248"/>
      <c r="P768" s="248"/>
      <c r="Q768" s="248"/>
      <c r="R768" s="248"/>
      <c r="S768" s="248"/>
    </row>
    <row r="769" ht="15.75" customHeight="1">
      <c r="O769" s="248"/>
      <c r="P769" s="248"/>
      <c r="Q769" s="248"/>
      <c r="R769" s="248"/>
      <c r="S769" s="248"/>
    </row>
    <row r="770" ht="15.75" customHeight="1">
      <c r="O770" s="248"/>
      <c r="P770" s="248"/>
      <c r="Q770" s="248"/>
      <c r="R770" s="248"/>
      <c r="S770" s="248"/>
    </row>
    <row r="771" ht="15.75" customHeight="1">
      <c r="O771" s="248"/>
      <c r="P771" s="248"/>
      <c r="Q771" s="248"/>
      <c r="R771" s="248"/>
      <c r="S771" s="248"/>
    </row>
    <row r="772" ht="15.75" customHeight="1">
      <c r="O772" s="248"/>
      <c r="P772" s="248"/>
      <c r="Q772" s="248"/>
      <c r="R772" s="248"/>
      <c r="S772" s="248"/>
    </row>
    <row r="773" ht="15.75" customHeight="1">
      <c r="O773" s="248"/>
      <c r="P773" s="248"/>
      <c r="Q773" s="248"/>
      <c r="R773" s="248"/>
      <c r="S773" s="248"/>
    </row>
    <row r="774" ht="15.75" customHeight="1">
      <c r="O774" s="248"/>
      <c r="P774" s="248"/>
      <c r="Q774" s="248"/>
      <c r="R774" s="248"/>
      <c r="S774" s="248"/>
    </row>
    <row r="775" ht="15.75" customHeight="1">
      <c r="O775" s="248"/>
      <c r="P775" s="248"/>
      <c r="Q775" s="248"/>
      <c r="R775" s="248"/>
      <c r="S775" s="248"/>
    </row>
    <row r="776" ht="15.75" customHeight="1">
      <c r="O776" s="248"/>
      <c r="P776" s="248"/>
      <c r="Q776" s="248"/>
      <c r="R776" s="248"/>
      <c r="S776" s="248"/>
    </row>
    <row r="777" ht="15.75" customHeight="1">
      <c r="O777" s="248"/>
      <c r="P777" s="248"/>
      <c r="Q777" s="248"/>
      <c r="R777" s="248"/>
      <c r="S777" s="248"/>
    </row>
    <row r="778" ht="15.75" customHeight="1">
      <c r="O778" s="248"/>
      <c r="P778" s="248"/>
      <c r="Q778" s="248"/>
      <c r="R778" s="248"/>
      <c r="S778" s="248"/>
    </row>
    <row r="779" ht="15.75" customHeight="1">
      <c r="O779" s="248"/>
      <c r="P779" s="248"/>
      <c r="Q779" s="248"/>
      <c r="R779" s="248"/>
      <c r="S779" s="248"/>
    </row>
    <row r="780" ht="15.75" customHeight="1">
      <c r="O780" s="248"/>
      <c r="P780" s="248"/>
      <c r="Q780" s="248"/>
      <c r="R780" s="248"/>
      <c r="S780" s="248"/>
    </row>
    <row r="781" ht="15.75" customHeight="1">
      <c r="O781" s="248"/>
      <c r="P781" s="248"/>
      <c r="Q781" s="248"/>
      <c r="R781" s="248"/>
      <c r="S781" s="248"/>
    </row>
    <row r="782" ht="15.75" customHeight="1">
      <c r="O782" s="248"/>
      <c r="P782" s="248"/>
      <c r="Q782" s="248"/>
      <c r="R782" s="248"/>
      <c r="S782" s="248"/>
    </row>
    <row r="783" ht="15.75" customHeight="1">
      <c r="O783" s="248"/>
      <c r="P783" s="248"/>
      <c r="Q783" s="248"/>
      <c r="R783" s="248"/>
      <c r="S783" s="248"/>
    </row>
    <row r="784" ht="15.75" customHeight="1">
      <c r="O784" s="248"/>
      <c r="P784" s="248"/>
      <c r="Q784" s="248"/>
      <c r="R784" s="248"/>
      <c r="S784" s="248"/>
    </row>
    <row r="785" ht="15.75" customHeight="1">
      <c r="O785" s="248"/>
      <c r="P785" s="248"/>
      <c r="Q785" s="248"/>
      <c r="R785" s="248"/>
      <c r="S785" s="248"/>
    </row>
    <row r="786" ht="15.75" customHeight="1">
      <c r="O786" s="248"/>
      <c r="P786" s="248"/>
      <c r="Q786" s="248"/>
      <c r="R786" s="248"/>
      <c r="S786" s="248"/>
    </row>
    <row r="787" ht="15.75" customHeight="1">
      <c r="O787" s="248"/>
      <c r="P787" s="248"/>
      <c r="Q787" s="248"/>
      <c r="R787" s="248"/>
      <c r="S787" s="248"/>
    </row>
    <row r="788" ht="15.75" customHeight="1">
      <c r="O788" s="248"/>
      <c r="P788" s="248"/>
      <c r="Q788" s="248"/>
      <c r="R788" s="248"/>
      <c r="S788" s="248"/>
    </row>
    <row r="789" ht="15.75" customHeight="1">
      <c r="O789" s="248"/>
      <c r="P789" s="248"/>
      <c r="Q789" s="248"/>
      <c r="R789" s="248"/>
      <c r="S789" s="248"/>
    </row>
    <row r="790" ht="15.75" customHeight="1">
      <c r="O790" s="248"/>
      <c r="P790" s="248"/>
      <c r="Q790" s="248"/>
      <c r="R790" s="248"/>
      <c r="S790" s="248"/>
    </row>
    <row r="791" ht="15.75" customHeight="1">
      <c r="O791" s="248"/>
      <c r="P791" s="248"/>
      <c r="Q791" s="248"/>
      <c r="R791" s="248"/>
      <c r="S791" s="248"/>
    </row>
    <row r="792" ht="15.75" customHeight="1">
      <c r="O792" s="248"/>
      <c r="P792" s="248"/>
      <c r="Q792" s="248"/>
      <c r="R792" s="248"/>
      <c r="S792" s="248"/>
    </row>
    <row r="793" ht="15.75" customHeight="1">
      <c r="O793" s="248"/>
      <c r="P793" s="248"/>
      <c r="Q793" s="248"/>
      <c r="R793" s="248"/>
      <c r="S793" s="248"/>
    </row>
    <row r="794" ht="15.75" customHeight="1">
      <c r="O794" s="248"/>
      <c r="P794" s="248"/>
      <c r="Q794" s="248"/>
      <c r="R794" s="248"/>
      <c r="S794" s="248"/>
    </row>
    <row r="795" ht="15.75" customHeight="1">
      <c r="O795" s="248"/>
      <c r="P795" s="248"/>
      <c r="Q795" s="248"/>
      <c r="R795" s="248"/>
      <c r="S795" s="248"/>
    </row>
    <row r="796" ht="15.75" customHeight="1">
      <c r="O796" s="248"/>
      <c r="P796" s="248"/>
      <c r="Q796" s="248"/>
      <c r="R796" s="248"/>
      <c r="S796" s="248"/>
    </row>
    <row r="797" ht="15.75" customHeight="1">
      <c r="O797" s="248"/>
      <c r="P797" s="248"/>
      <c r="Q797" s="248"/>
      <c r="R797" s="248"/>
      <c r="S797" s="248"/>
    </row>
    <row r="798" ht="15.75" customHeight="1">
      <c r="O798" s="248"/>
      <c r="P798" s="248"/>
      <c r="Q798" s="248"/>
      <c r="R798" s="248"/>
      <c r="S798" s="248"/>
    </row>
    <row r="799" ht="15.75" customHeight="1">
      <c r="O799" s="248"/>
      <c r="P799" s="248"/>
      <c r="Q799" s="248"/>
      <c r="R799" s="248"/>
      <c r="S799" s="248"/>
    </row>
    <row r="800" ht="15.75" customHeight="1">
      <c r="O800" s="248"/>
      <c r="P800" s="248"/>
      <c r="Q800" s="248"/>
      <c r="R800" s="248"/>
      <c r="S800" s="248"/>
    </row>
    <row r="801" ht="15.75" customHeight="1">
      <c r="O801" s="248"/>
      <c r="P801" s="248"/>
      <c r="Q801" s="248"/>
      <c r="R801" s="248"/>
      <c r="S801" s="248"/>
    </row>
    <row r="802" ht="15.75" customHeight="1">
      <c r="O802" s="248"/>
      <c r="P802" s="248"/>
      <c r="Q802" s="248"/>
      <c r="R802" s="248"/>
      <c r="S802" s="248"/>
    </row>
    <row r="803" ht="15.75" customHeight="1">
      <c r="O803" s="248"/>
      <c r="P803" s="248"/>
      <c r="Q803" s="248"/>
      <c r="R803" s="248"/>
      <c r="S803" s="248"/>
    </row>
    <row r="804" ht="15.75" customHeight="1">
      <c r="O804" s="248"/>
      <c r="P804" s="248"/>
      <c r="Q804" s="248"/>
      <c r="R804" s="248"/>
      <c r="S804" s="248"/>
    </row>
    <row r="805" ht="15.75" customHeight="1">
      <c r="O805" s="248"/>
      <c r="P805" s="248"/>
      <c r="Q805" s="248"/>
      <c r="R805" s="248"/>
      <c r="S805" s="248"/>
    </row>
    <row r="806" ht="15.75" customHeight="1">
      <c r="O806" s="248"/>
      <c r="P806" s="248"/>
      <c r="Q806" s="248"/>
      <c r="R806" s="248"/>
      <c r="S806" s="248"/>
    </row>
    <row r="807" ht="15.75" customHeight="1">
      <c r="O807" s="248"/>
      <c r="P807" s="248"/>
      <c r="Q807" s="248"/>
      <c r="R807" s="248"/>
      <c r="S807" s="248"/>
    </row>
    <row r="808" ht="15.75" customHeight="1">
      <c r="O808" s="248"/>
      <c r="P808" s="248"/>
      <c r="Q808" s="248"/>
      <c r="R808" s="248"/>
      <c r="S808" s="248"/>
    </row>
    <row r="809" ht="15.75" customHeight="1">
      <c r="O809" s="248"/>
      <c r="P809" s="248"/>
      <c r="Q809" s="248"/>
      <c r="R809" s="248"/>
      <c r="S809" s="248"/>
    </row>
    <row r="810" ht="15.75" customHeight="1">
      <c r="O810" s="248"/>
      <c r="P810" s="248"/>
      <c r="Q810" s="248"/>
      <c r="R810" s="248"/>
      <c r="S810" s="248"/>
    </row>
    <row r="811" ht="15.75" customHeight="1">
      <c r="O811" s="248"/>
      <c r="P811" s="248"/>
      <c r="Q811" s="248"/>
      <c r="R811" s="248"/>
      <c r="S811" s="248"/>
    </row>
    <row r="812" ht="15.75" customHeight="1">
      <c r="O812" s="248"/>
      <c r="P812" s="248"/>
      <c r="Q812" s="248"/>
      <c r="R812" s="248"/>
      <c r="S812" s="248"/>
    </row>
    <row r="813" ht="15.75" customHeight="1">
      <c r="O813" s="248"/>
      <c r="P813" s="248"/>
      <c r="Q813" s="248"/>
      <c r="R813" s="248"/>
      <c r="S813" s="248"/>
    </row>
    <row r="814" ht="15.75" customHeight="1">
      <c r="O814" s="248"/>
      <c r="P814" s="248"/>
      <c r="Q814" s="248"/>
      <c r="R814" s="248"/>
      <c r="S814" s="248"/>
    </row>
    <row r="815" ht="15.75" customHeight="1">
      <c r="O815" s="248"/>
      <c r="P815" s="248"/>
      <c r="Q815" s="248"/>
      <c r="R815" s="248"/>
      <c r="S815" s="248"/>
    </row>
    <row r="816" ht="15.75" customHeight="1">
      <c r="O816" s="248"/>
      <c r="P816" s="248"/>
      <c r="Q816" s="248"/>
      <c r="R816" s="248"/>
      <c r="S816" s="248"/>
    </row>
    <row r="817" ht="15.75" customHeight="1">
      <c r="O817" s="248"/>
      <c r="P817" s="248"/>
      <c r="Q817" s="248"/>
      <c r="R817" s="248"/>
      <c r="S817" s="248"/>
    </row>
    <row r="818" ht="15.75" customHeight="1">
      <c r="O818" s="248"/>
      <c r="P818" s="248"/>
      <c r="Q818" s="248"/>
      <c r="R818" s="248"/>
      <c r="S818" s="248"/>
    </row>
    <row r="819" ht="15.75" customHeight="1">
      <c r="O819" s="248"/>
      <c r="P819" s="248"/>
      <c r="Q819" s="248"/>
      <c r="R819" s="248"/>
      <c r="S819" s="248"/>
    </row>
    <row r="820" ht="15.75" customHeight="1">
      <c r="O820" s="248"/>
      <c r="P820" s="248"/>
      <c r="Q820" s="248"/>
      <c r="R820" s="248"/>
      <c r="S820" s="248"/>
    </row>
    <row r="821" ht="15.75" customHeight="1">
      <c r="O821" s="248"/>
      <c r="P821" s="248"/>
      <c r="Q821" s="248"/>
      <c r="R821" s="248"/>
      <c r="S821" s="248"/>
    </row>
    <row r="822" ht="15.75" customHeight="1">
      <c r="O822" s="248"/>
      <c r="P822" s="248"/>
      <c r="Q822" s="248"/>
      <c r="R822" s="248"/>
      <c r="S822" s="248"/>
    </row>
    <row r="823" ht="15.75" customHeight="1">
      <c r="O823" s="248"/>
      <c r="P823" s="248"/>
      <c r="Q823" s="248"/>
      <c r="R823" s="248"/>
      <c r="S823" s="248"/>
    </row>
    <row r="824" ht="15.75" customHeight="1">
      <c r="O824" s="248"/>
      <c r="P824" s="248"/>
      <c r="Q824" s="248"/>
      <c r="R824" s="248"/>
      <c r="S824" s="248"/>
    </row>
    <row r="825" ht="15.75" customHeight="1">
      <c r="O825" s="248"/>
      <c r="P825" s="248"/>
      <c r="Q825" s="248"/>
      <c r="R825" s="248"/>
      <c r="S825" s="248"/>
    </row>
    <row r="826" ht="15.75" customHeight="1">
      <c r="O826" s="248"/>
      <c r="P826" s="248"/>
      <c r="Q826" s="248"/>
      <c r="R826" s="248"/>
      <c r="S826" s="248"/>
    </row>
    <row r="827" ht="15.75" customHeight="1">
      <c r="O827" s="248"/>
      <c r="P827" s="248"/>
      <c r="Q827" s="248"/>
      <c r="R827" s="248"/>
      <c r="S827" s="248"/>
    </row>
    <row r="828" ht="15.75" customHeight="1">
      <c r="O828" s="248"/>
      <c r="P828" s="248"/>
      <c r="Q828" s="248"/>
      <c r="R828" s="248"/>
      <c r="S828" s="248"/>
    </row>
    <row r="829" ht="15.75" customHeight="1">
      <c r="O829" s="248"/>
      <c r="P829" s="248"/>
      <c r="Q829" s="248"/>
      <c r="R829" s="248"/>
      <c r="S829" s="248"/>
    </row>
    <row r="830" ht="15.75" customHeight="1">
      <c r="O830" s="248"/>
      <c r="P830" s="248"/>
      <c r="Q830" s="248"/>
      <c r="R830" s="248"/>
      <c r="S830" s="248"/>
    </row>
    <row r="831" ht="15.75" customHeight="1">
      <c r="O831" s="248"/>
      <c r="P831" s="248"/>
      <c r="Q831" s="248"/>
      <c r="R831" s="248"/>
      <c r="S831" s="248"/>
    </row>
    <row r="832" ht="15.75" customHeight="1">
      <c r="O832" s="248"/>
      <c r="P832" s="248"/>
      <c r="Q832" s="248"/>
      <c r="R832" s="248"/>
      <c r="S832" s="248"/>
    </row>
    <row r="833" ht="15.75" customHeight="1">
      <c r="O833" s="248"/>
      <c r="P833" s="248"/>
      <c r="Q833" s="248"/>
      <c r="R833" s="248"/>
      <c r="S833" s="248"/>
    </row>
    <row r="834" ht="15.75" customHeight="1">
      <c r="O834" s="248"/>
      <c r="P834" s="248"/>
      <c r="Q834" s="248"/>
      <c r="R834" s="248"/>
      <c r="S834" s="248"/>
    </row>
    <row r="835" ht="15.75" customHeight="1">
      <c r="O835" s="248"/>
      <c r="P835" s="248"/>
      <c r="Q835" s="248"/>
      <c r="R835" s="248"/>
      <c r="S835" s="248"/>
    </row>
    <row r="836" ht="15.75" customHeight="1">
      <c r="O836" s="248"/>
      <c r="P836" s="248"/>
      <c r="Q836" s="248"/>
      <c r="R836" s="248"/>
      <c r="S836" s="248"/>
    </row>
    <row r="837" ht="15.75" customHeight="1">
      <c r="O837" s="248"/>
      <c r="P837" s="248"/>
      <c r="Q837" s="248"/>
      <c r="R837" s="248"/>
      <c r="S837" s="248"/>
    </row>
    <row r="838" ht="15.75" customHeight="1">
      <c r="O838" s="248"/>
      <c r="P838" s="248"/>
      <c r="Q838" s="248"/>
      <c r="R838" s="248"/>
      <c r="S838" s="248"/>
    </row>
    <row r="839" ht="15.75" customHeight="1">
      <c r="O839" s="248"/>
      <c r="P839" s="248"/>
      <c r="Q839" s="248"/>
      <c r="R839" s="248"/>
      <c r="S839" s="248"/>
    </row>
    <row r="840" ht="15.75" customHeight="1">
      <c r="O840" s="248"/>
      <c r="P840" s="248"/>
      <c r="Q840" s="248"/>
      <c r="R840" s="248"/>
      <c r="S840" s="248"/>
    </row>
    <row r="841" ht="15.75" customHeight="1">
      <c r="O841" s="248"/>
      <c r="P841" s="248"/>
      <c r="Q841" s="248"/>
      <c r="R841" s="248"/>
      <c r="S841" s="248"/>
    </row>
    <row r="842" ht="15.75" customHeight="1">
      <c r="O842" s="248"/>
      <c r="P842" s="248"/>
      <c r="Q842" s="248"/>
      <c r="R842" s="248"/>
      <c r="S842" s="248"/>
    </row>
    <row r="843" ht="15.75" customHeight="1">
      <c r="O843" s="248"/>
      <c r="P843" s="248"/>
      <c r="Q843" s="248"/>
      <c r="R843" s="248"/>
      <c r="S843" s="248"/>
    </row>
    <row r="844" ht="15.75" customHeight="1">
      <c r="O844" s="248"/>
      <c r="P844" s="248"/>
      <c r="Q844" s="248"/>
      <c r="R844" s="248"/>
      <c r="S844" s="248"/>
    </row>
    <row r="845" ht="15.75" customHeight="1">
      <c r="O845" s="248"/>
      <c r="P845" s="248"/>
      <c r="Q845" s="248"/>
      <c r="R845" s="248"/>
      <c r="S845" s="248"/>
    </row>
    <row r="846" ht="15.75" customHeight="1">
      <c r="O846" s="248"/>
      <c r="P846" s="248"/>
      <c r="Q846" s="248"/>
      <c r="R846" s="248"/>
      <c r="S846" s="248"/>
    </row>
    <row r="847" ht="15.75" customHeight="1">
      <c r="O847" s="248"/>
      <c r="P847" s="248"/>
      <c r="Q847" s="248"/>
      <c r="R847" s="248"/>
      <c r="S847" s="248"/>
    </row>
    <row r="848" ht="15.75" customHeight="1">
      <c r="O848" s="248"/>
      <c r="P848" s="248"/>
      <c r="Q848" s="248"/>
      <c r="R848" s="248"/>
      <c r="S848" s="248"/>
    </row>
    <row r="849" ht="15.75" customHeight="1">
      <c r="O849" s="248"/>
      <c r="P849" s="248"/>
      <c r="Q849" s="248"/>
      <c r="R849" s="248"/>
      <c r="S849" s="248"/>
    </row>
    <row r="850" ht="15.75" customHeight="1">
      <c r="O850" s="248"/>
      <c r="P850" s="248"/>
      <c r="Q850" s="248"/>
      <c r="R850" s="248"/>
      <c r="S850" s="248"/>
    </row>
    <row r="851" ht="15.75" customHeight="1">
      <c r="O851" s="248"/>
      <c r="P851" s="248"/>
      <c r="Q851" s="248"/>
      <c r="R851" s="248"/>
      <c r="S851" s="248"/>
    </row>
    <row r="852" ht="15.75" customHeight="1">
      <c r="O852" s="248"/>
      <c r="P852" s="248"/>
      <c r="Q852" s="248"/>
      <c r="R852" s="248"/>
      <c r="S852" s="248"/>
    </row>
    <row r="853" ht="15.75" customHeight="1">
      <c r="O853" s="248"/>
      <c r="P853" s="248"/>
      <c r="Q853" s="248"/>
      <c r="R853" s="248"/>
      <c r="S853" s="248"/>
    </row>
    <row r="854" ht="15.75" customHeight="1">
      <c r="O854" s="248"/>
      <c r="P854" s="248"/>
      <c r="Q854" s="248"/>
      <c r="R854" s="248"/>
      <c r="S854" s="248"/>
    </row>
    <row r="855" ht="15.75" customHeight="1">
      <c r="O855" s="248"/>
      <c r="P855" s="248"/>
      <c r="Q855" s="248"/>
      <c r="R855" s="248"/>
      <c r="S855" s="248"/>
    </row>
    <row r="856" ht="15.75" customHeight="1">
      <c r="O856" s="248"/>
      <c r="P856" s="248"/>
      <c r="Q856" s="248"/>
      <c r="R856" s="248"/>
      <c r="S856" s="248"/>
    </row>
    <row r="857" ht="15.75" customHeight="1">
      <c r="O857" s="248"/>
      <c r="P857" s="248"/>
      <c r="Q857" s="248"/>
      <c r="R857" s="248"/>
      <c r="S857" s="248"/>
    </row>
    <row r="858" ht="15.75" customHeight="1">
      <c r="O858" s="248"/>
      <c r="P858" s="248"/>
      <c r="Q858" s="248"/>
      <c r="R858" s="248"/>
      <c r="S858" s="248"/>
    </row>
    <row r="859" ht="15.75" customHeight="1">
      <c r="O859" s="248"/>
      <c r="P859" s="248"/>
      <c r="Q859" s="248"/>
      <c r="R859" s="248"/>
      <c r="S859" s="248"/>
    </row>
    <row r="860" ht="15.75" customHeight="1">
      <c r="O860" s="248"/>
      <c r="P860" s="248"/>
      <c r="Q860" s="248"/>
      <c r="R860" s="248"/>
      <c r="S860" s="248"/>
    </row>
    <row r="861" ht="15.75" customHeight="1">
      <c r="O861" s="248"/>
      <c r="P861" s="248"/>
      <c r="Q861" s="248"/>
      <c r="R861" s="248"/>
      <c r="S861" s="248"/>
    </row>
    <row r="862" ht="15.75" customHeight="1">
      <c r="O862" s="248"/>
      <c r="P862" s="248"/>
      <c r="Q862" s="248"/>
      <c r="R862" s="248"/>
      <c r="S862" s="248"/>
    </row>
    <row r="863" ht="15.75" customHeight="1">
      <c r="O863" s="248"/>
      <c r="P863" s="248"/>
      <c r="Q863" s="248"/>
      <c r="R863" s="248"/>
      <c r="S863" s="248"/>
    </row>
    <row r="864" ht="15.75" customHeight="1">
      <c r="O864" s="248"/>
      <c r="P864" s="248"/>
      <c r="Q864" s="248"/>
      <c r="R864" s="248"/>
      <c r="S864" s="248"/>
    </row>
    <row r="865" ht="15.75" customHeight="1">
      <c r="O865" s="248"/>
      <c r="P865" s="248"/>
      <c r="Q865" s="248"/>
      <c r="R865" s="248"/>
      <c r="S865" s="248"/>
    </row>
    <row r="866" ht="15.75" customHeight="1">
      <c r="O866" s="248"/>
      <c r="P866" s="248"/>
      <c r="Q866" s="248"/>
      <c r="R866" s="248"/>
      <c r="S866" s="248"/>
    </row>
    <row r="867" ht="15.75" customHeight="1">
      <c r="O867" s="248"/>
      <c r="P867" s="248"/>
      <c r="Q867" s="248"/>
      <c r="R867" s="248"/>
      <c r="S867" s="248"/>
    </row>
    <row r="868" ht="15.75" customHeight="1">
      <c r="O868" s="248"/>
      <c r="P868" s="248"/>
      <c r="Q868" s="248"/>
      <c r="R868" s="248"/>
      <c r="S868" s="248"/>
    </row>
    <row r="869" ht="15.75" customHeight="1">
      <c r="O869" s="248"/>
      <c r="P869" s="248"/>
      <c r="Q869" s="248"/>
      <c r="R869" s="248"/>
      <c r="S869" s="248"/>
    </row>
    <row r="870" ht="15.75" customHeight="1">
      <c r="O870" s="248"/>
      <c r="P870" s="248"/>
      <c r="Q870" s="248"/>
      <c r="R870" s="248"/>
      <c r="S870" s="248"/>
    </row>
    <row r="871" ht="15.75" customHeight="1">
      <c r="O871" s="248"/>
      <c r="P871" s="248"/>
      <c r="Q871" s="248"/>
      <c r="R871" s="248"/>
      <c r="S871" s="248"/>
    </row>
    <row r="872" ht="15.75" customHeight="1">
      <c r="O872" s="248"/>
      <c r="P872" s="248"/>
      <c r="Q872" s="248"/>
      <c r="R872" s="248"/>
      <c r="S872" s="248"/>
    </row>
    <row r="873" ht="15.75" customHeight="1">
      <c r="O873" s="248"/>
      <c r="P873" s="248"/>
      <c r="Q873" s="248"/>
      <c r="R873" s="248"/>
      <c r="S873" s="248"/>
    </row>
    <row r="874" ht="15.75" customHeight="1">
      <c r="O874" s="248"/>
      <c r="P874" s="248"/>
      <c r="Q874" s="248"/>
      <c r="R874" s="248"/>
      <c r="S874" s="248"/>
    </row>
    <row r="875" ht="15.75" customHeight="1">
      <c r="O875" s="248"/>
      <c r="P875" s="248"/>
      <c r="Q875" s="248"/>
      <c r="R875" s="248"/>
      <c r="S875" s="248"/>
    </row>
    <row r="876" ht="15.75" customHeight="1">
      <c r="O876" s="248"/>
      <c r="P876" s="248"/>
      <c r="Q876" s="248"/>
      <c r="R876" s="248"/>
      <c r="S876" s="248"/>
    </row>
    <row r="877" ht="15.75" customHeight="1">
      <c r="O877" s="248"/>
      <c r="P877" s="248"/>
      <c r="Q877" s="248"/>
      <c r="R877" s="248"/>
      <c r="S877" s="248"/>
    </row>
    <row r="878" ht="15.75" customHeight="1">
      <c r="O878" s="248"/>
      <c r="P878" s="248"/>
      <c r="Q878" s="248"/>
      <c r="R878" s="248"/>
      <c r="S878" s="248"/>
    </row>
    <row r="879" ht="15.75" customHeight="1">
      <c r="O879" s="248"/>
      <c r="P879" s="248"/>
      <c r="Q879" s="248"/>
      <c r="R879" s="248"/>
      <c r="S879" s="248"/>
    </row>
    <row r="880" ht="15.75" customHeight="1">
      <c r="O880" s="248"/>
      <c r="P880" s="248"/>
      <c r="Q880" s="248"/>
      <c r="R880" s="248"/>
      <c r="S880" s="248"/>
    </row>
    <row r="881" ht="15.75" customHeight="1">
      <c r="O881" s="248"/>
      <c r="P881" s="248"/>
      <c r="Q881" s="248"/>
      <c r="R881" s="248"/>
      <c r="S881" s="248"/>
    </row>
    <row r="882" ht="15.75" customHeight="1">
      <c r="O882" s="248"/>
      <c r="P882" s="248"/>
      <c r="Q882" s="248"/>
      <c r="R882" s="248"/>
      <c r="S882" s="248"/>
    </row>
    <row r="883" ht="15.75" customHeight="1">
      <c r="O883" s="248"/>
      <c r="P883" s="248"/>
      <c r="Q883" s="248"/>
      <c r="R883" s="248"/>
      <c r="S883" s="248"/>
    </row>
    <row r="884" ht="15.75" customHeight="1">
      <c r="O884" s="248"/>
      <c r="P884" s="248"/>
      <c r="Q884" s="248"/>
      <c r="R884" s="248"/>
      <c r="S884" s="248"/>
    </row>
    <row r="885" ht="15.75" customHeight="1">
      <c r="O885" s="248"/>
      <c r="P885" s="248"/>
      <c r="Q885" s="248"/>
      <c r="R885" s="248"/>
      <c r="S885" s="248"/>
    </row>
    <row r="886" ht="15.75" customHeight="1">
      <c r="O886" s="248"/>
      <c r="P886" s="248"/>
      <c r="Q886" s="248"/>
      <c r="R886" s="248"/>
      <c r="S886" s="248"/>
    </row>
    <row r="887" ht="15.75" customHeight="1">
      <c r="O887" s="248"/>
      <c r="P887" s="248"/>
      <c r="Q887" s="248"/>
      <c r="R887" s="248"/>
      <c r="S887" s="248"/>
    </row>
    <row r="888" ht="15.75" customHeight="1">
      <c r="O888" s="248"/>
      <c r="P888" s="248"/>
      <c r="Q888" s="248"/>
      <c r="R888" s="248"/>
      <c r="S888" s="248"/>
    </row>
    <row r="889" ht="15.75" customHeight="1">
      <c r="O889" s="248"/>
      <c r="P889" s="248"/>
      <c r="Q889" s="248"/>
      <c r="R889" s="248"/>
      <c r="S889" s="248"/>
    </row>
    <row r="890" ht="15.75" customHeight="1">
      <c r="O890" s="248"/>
      <c r="P890" s="248"/>
      <c r="Q890" s="248"/>
      <c r="R890" s="248"/>
      <c r="S890" s="248"/>
    </row>
    <row r="891" ht="15.75" customHeight="1">
      <c r="O891" s="248"/>
      <c r="P891" s="248"/>
      <c r="Q891" s="248"/>
      <c r="R891" s="248"/>
      <c r="S891" s="248"/>
    </row>
    <row r="892" ht="15.75" customHeight="1">
      <c r="O892" s="248"/>
      <c r="P892" s="248"/>
      <c r="Q892" s="248"/>
      <c r="R892" s="248"/>
      <c r="S892" s="248"/>
    </row>
    <row r="893" ht="15.75" customHeight="1">
      <c r="O893" s="248"/>
      <c r="P893" s="248"/>
      <c r="Q893" s="248"/>
      <c r="R893" s="248"/>
      <c r="S893" s="248"/>
    </row>
    <row r="894" ht="15.75" customHeight="1">
      <c r="O894" s="248"/>
      <c r="P894" s="248"/>
      <c r="Q894" s="248"/>
      <c r="R894" s="248"/>
      <c r="S894" s="248"/>
    </row>
    <row r="895" ht="15.75" customHeight="1">
      <c r="O895" s="248"/>
      <c r="P895" s="248"/>
      <c r="Q895" s="248"/>
      <c r="R895" s="248"/>
      <c r="S895" s="248"/>
    </row>
    <row r="896" ht="15.75" customHeight="1">
      <c r="O896" s="248"/>
      <c r="P896" s="248"/>
      <c r="Q896" s="248"/>
      <c r="R896" s="248"/>
      <c r="S896" s="248"/>
    </row>
    <row r="897" ht="15.75" customHeight="1">
      <c r="O897" s="248"/>
      <c r="P897" s="248"/>
      <c r="Q897" s="248"/>
      <c r="R897" s="248"/>
      <c r="S897" s="248"/>
    </row>
    <row r="898" ht="15.75" customHeight="1">
      <c r="O898" s="248"/>
      <c r="P898" s="248"/>
      <c r="Q898" s="248"/>
      <c r="R898" s="248"/>
      <c r="S898" s="248"/>
    </row>
    <row r="899" ht="15.75" customHeight="1">
      <c r="O899" s="248"/>
      <c r="P899" s="248"/>
      <c r="Q899" s="248"/>
      <c r="R899" s="248"/>
      <c r="S899" s="248"/>
    </row>
    <row r="900" ht="15.75" customHeight="1">
      <c r="O900" s="248"/>
      <c r="P900" s="248"/>
      <c r="Q900" s="248"/>
      <c r="R900" s="248"/>
      <c r="S900" s="248"/>
    </row>
    <row r="901" ht="15.75" customHeight="1">
      <c r="O901" s="248"/>
      <c r="P901" s="248"/>
      <c r="Q901" s="248"/>
      <c r="R901" s="248"/>
      <c r="S901" s="248"/>
    </row>
    <row r="902" ht="15.75" customHeight="1">
      <c r="O902" s="248"/>
      <c r="P902" s="248"/>
      <c r="Q902" s="248"/>
      <c r="R902" s="248"/>
      <c r="S902" s="248"/>
    </row>
    <row r="903" ht="15.75" customHeight="1">
      <c r="O903" s="248"/>
      <c r="P903" s="248"/>
      <c r="Q903" s="248"/>
      <c r="R903" s="248"/>
      <c r="S903" s="248"/>
    </row>
    <row r="904" ht="15.75" customHeight="1">
      <c r="O904" s="248"/>
      <c r="P904" s="248"/>
      <c r="Q904" s="248"/>
      <c r="R904" s="248"/>
      <c r="S904" s="248"/>
    </row>
    <row r="905" ht="15.75" customHeight="1">
      <c r="O905" s="248"/>
      <c r="P905" s="248"/>
      <c r="Q905" s="248"/>
      <c r="R905" s="248"/>
      <c r="S905" s="248"/>
    </row>
    <row r="906" ht="15.75" customHeight="1">
      <c r="O906" s="248"/>
      <c r="P906" s="248"/>
      <c r="Q906" s="248"/>
      <c r="R906" s="248"/>
      <c r="S906" s="248"/>
    </row>
    <row r="907" ht="15.75" customHeight="1">
      <c r="O907" s="248"/>
      <c r="P907" s="248"/>
      <c r="Q907" s="248"/>
      <c r="R907" s="248"/>
      <c r="S907" s="248"/>
    </row>
    <row r="908" ht="15.75" customHeight="1">
      <c r="O908" s="248"/>
      <c r="P908" s="248"/>
      <c r="Q908" s="248"/>
      <c r="R908" s="248"/>
      <c r="S908" s="248"/>
    </row>
    <row r="909" ht="15.75" customHeight="1">
      <c r="O909" s="248"/>
      <c r="P909" s="248"/>
      <c r="Q909" s="248"/>
      <c r="R909" s="248"/>
      <c r="S909" s="248"/>
    </row>
    <row r="910" ht="15.75" customHeight="1">
      <c r="O910" s="248"/>
      <c r="P910" s="248"/>
      <c r="Q910" s="248"/>
      <c r="R910" s="248"/>
      <c r="S910" s="248"/>
    </row>
    <row r="911" ht="15.75" customHeight="1">
      <c r="O911" s="248"/>
      <c r="P911" s="248"/>
      <c r="Q911" s="248"/>
      <c r="R911" s="248"/>
      <c r="S911" s="248"/>
    </row>
    <row r="912" ht="15.75" customHeight="1">
      <c r="O912" s="248"/>
      <c r="P912" s="248"/>
      <c r="Q912" s="248"/>
      <c r="R912" s="248"/>
      <c r="S912" s="248"/>
    </row>
    <row r="913" ht="15.75" customHeight="1">
      <c r="O913" s="248"/>
      <c r="P913" s="248"/>
      <c r="Q913" s="248"/>
      <c r="R913" s="248"/>
      <c r="S913" s="248"/>
    </row>
    <row r="914" ht="15.75" customHeight="1">
      <c r="O914" s="248"/>
      <c r="P914" s="248"/>
      <c r="Q914" s="248"/>
      <c r="R914" s="248"/>
      <c r="S914" s="248"/>
    </row>
    <row r="915" ht="15.75" customHeight="1">
      <c r="O915" s="248"/>
      <c r="P915" s="248"/>
      <c r="Q915" s="248"/>
      <c r="R915" s="248"/>
      <c r="S915" s="248"/>
    </row>
    <row r="916" ht="15.75" customHeight="1">
      <c r="O916" s="248"/>
      <c r="P916" s="248"/>
      <c r="Q916" s="248"/>
      <c r="R916" s="248"/>
      <c r="S916" s="248"/>
    </row>
    <row r="917" ht="15.75" customHeight="1">
      <c r="O917" s="248"/>
      <c r="P917" s="248"/>
      <c r="Q917" s="248"/>
      <c r="R917" s="248"/>
      <c r="S917" s="248"/>
    </row>
    <row r="918" ht="15.75" customHeight="1">
      <c r="O918" s="248"/>
      <c r="P918" s="248"/>
      <c r="Q918" s="248"/>
      <c r="R918" s="248"/>
      <c r="S918" s="248"/>
    </row>
    <row r="919" ht="15.75" customHeight="1">
      <c r="O919" s="248"/>
      <c r="P919" s="248"/>
      <c r="Q919" s="248"/>
      <c r="R919" s="248"/>
      <c r="S919" s="248"/>
    </row>
    <row r="920" ht="15.75" customHeight="1">
      <c r="O920" s="248"/>
      <c r="P920" s="248"/>
      <c r="Q920" s="248"/>
      <c r="R920" s="248"/>
      <c r="S920" s="248"/>
    </row>
    <row r="921" ht="15.75" customHeight="1">
      <c r="O921" s="248"/>
      <c r="P921" s="248"/>
      <c r="Q921" s="248"/>
      <c r="R921" s="248"/>
      <c r="S921" s="248"/>
    </row>
    <row r="922" ht="15.75" customHeight="1">
      <c r="O922" s="248"/>
      <c r="P922" s="248"/>
      <c r="Q922" s="248"/>
      <c r="R922" s="248"/>
      <c r="S922" s="248"/>
    </row>
    <row r="923" ht="15.75" customHeight="1">
      <c r="O923" s="248"/>
      <c r="P923" s="248"/>
      <c r="Q923" s="248"/>
      <c r="R923" s="248"/>
      <c r="S923" s="248"/>
    </row>
    <row r="924" ht="15.75" customHeight="1">
      <c r="O924" s="248"/>
      <c r="P924" s="248"/>
      <c r="Q924" s="248"/>
      <c r="R924" s="248"/>
      <c r="S924" s="248"/>
    </row>
    <row r="925" ht="15.75" customHeight="1">
      <c r="O925" s="248"/>
      <c r="P925" s="248"/>
      <c r="Q925" s="248"/>
      <c r="R925" s="248"/>
      <c r="S925" s="248"/>
    </row>
    <row r="926" ht="15.75" customHeight="1">
      <c r="O926" s="248"/>
      <c r="P926" s="248"/>
      <c r="Q926" s="248"/>
      <c r="R926" s="248"/>
      <c r="S926" s="248"/>
    </row>
    <row r="927" ht="15.75" customHeight="1">
      <c r="O927" s="248"/>
      <c r="P927" s="248"/>
      <c r="Q927" s="248"/>
      <c r="R927" s="248"/>
      <c r="S927" s="248"/>
    </row>
    <row r="928" ht="15.75" customHeight="1">
      <c r="O928" s="248"/>
      <c r="P928" s="248"/>
      <c r="Q928" s="248"/>
      <c r="R928" s="248"/>
      <c r="S928" s="248"/>
    </row>
    <row r="929" ht="15.75" customHeight="1">
      <c r="O929" s="248"/>
      <c r="P929" s="248"/>
      <c r="Q929" s="248"/>
      <c r="R929" s="248"/>
      <c r="S929" s="248"/>
    </row>
    <row r="930" ht="15.75" customHeight="1">
      <c r="O930" s="248"/>
      <c r="P930" s="248"/>
      <c r="Q930" s="248"/>
      <c r="R930" s="248"/>
      <c r="S930" s="248"/>
    </row>
    <row r="931" ht="15.75" customHeight="1">
      <c r="O931" s="248"/>
      <c r="P931" s="248"/>
      <c r="Q931" s="248"/>
      <c r="R931" s="248"/>
      <c r="S931" s="248"/>
    </row>
    <row r="932" ht="15.75" customHeight="1">
      <c r="O932" s="248"/>
      <c r="P932" s="248"/>
      <c r="Q932" s="248"/>
      <c r="R932" s="248"/>
      <c r="S932" s="248"/>
    </row>
    <row r="933" ht="15.75" customHeight="1">
      <c r="O933" s="248"/>
      <c r="P933" s="248"/>
      <c r="Q933" s="248"/>
      <c r="R933" s="248"/>
      <c r="S933" s="248"/>
    </row>
    <row r="934" ht="15.75" customHeight="1">
      <c r="O934" s="248"/>
      <c r="P934" s="248"/>
      <c r="Q934" s="248"/>
      <c r="R934" s="248"/>
      <c r="S934" s="248"/>
    </row>
    <row r="935" ht="15.75" customHeight="1">
      <c r="O935" s="248"/>
      <c r="P935" s="248"/>
      <c r="Q935" s="248"/>
      <c r="R935" s="248"/>
      <c r="S935" s="248"/>
    </row>
    <row r="936" ht="15.75" customHeight="1">
      <c r="O936" s="248"/>
      <c r="P936" s="248"/>
      <c r="Q936" s="248"/>
      <c r="R936" s="248"/>
      <c r="S936" s="248"/>
    </row>
    <row r="937" ht="15.75" customHeight="1">
      <c r="O937" s="248"/>
      <c r="P937" s="248"/>
      <c r="Q937" s="248"/>
      <c r="R937" s="248"/>
      <c r="S937" s="248"/>
    </row>
    <row r="938" ht="15.75" customHeight="1">
      <c r="O938" s="248"/>
      <c r="P938" s="248"/>
      <c r="Q938" s="248"/>
      <c r="R938" s="248"/>
      <c r="S938" s="248"/>
    </row>
    <row r="939" ht="15.75" customHeight="1">
      <c r="O939" s="248"/>
      <c r="P939" s="248"/>
      <c r="Q939" s="248"/>
      <c r="R939" s="248"/>
      <c r="S939" s="248"/>
    </row>
    <row r="940" ht="15.75" customHeight="1">
      <c r="O940" s="248"/>
      <c r="P940" s="248"/>
      <c r="Q940" s="248"/>
      <c r="R940" s="248"/>
      <c r="S940" s="248"/>
    </row>
    <row r="941" ht="15.75" customHeight="1">
      <c r="O941" s="248"/>
      <c r="P941" s="248"/>
      <c r="Q941" s="248"/>
      <c r="R941" s="248"/>
      <c r="S941" s="248"/>
    </row>
    <row r="942" ht="15.75" customHeight="1">
      <c r="O942" s="248"/>
      <c r="P942" s="248"/>
      <c r="Q942" s="248"/>
      <c r="R942" s="248"/>
      <c r="S942" s="248"/>
    </row>
    <row r="943" ht="15.75" customHeight="1">
      <c r="O943" s="248"/>
      <c r="P943" s="248"/>
      <c r="Q943" s="248"/>
      <c r="R943" s="248"/>
      <c r="S943" s="248"/>
    </row>
    <row r="944" ht="15.75" customHeight="1">
      <c r="O944" s="248"/>
      <c r="P944" s="248"/>
      <c r="Q944" s="248"/>
      <c r="R944" s="248"/>
      <c r="S944" s="248"/>
    </row>
    <row r="945" ht="15.75" customHeight="1">
      <c r="O945" s="248"/>
      <c r="P945" s="248"/>
      <c r="Q945" s="248"/>
      <c r="R945" s="248"/>
      <c r="S945" s="248"/>
    </row>
    <row r="946" ht="15.75" customHeight="1">
      <c r="O946" s="248"/>
      <c r="P946" s="248"/>
      <c r="Q946" s="248"/>
      <c r="R946" s="248"/>
      <c r="S946" s="248"/>
    </row>
    <row r="947" ht="15.75" customHeight="1">
      <c r="O947" s="248"/>
      <c r="P947" s="248"/>
      <c r="Q947" s="248"/>
      <c r="R947" s="248"/>
      <c r="S947" s="248"/>
    </row>
    <row r="948" ht="15.75" customHeight="1">
      <c r="O948" s="248"/>
      <c r="P948" s="248"/>
      <c r="Q948" s="248"/>
      <c r="R948" s="248"/>
      <c r="S948" s="248"/>
    </row>
    <row r="949" ht="15.75" customHeight="1">
      <c r="O949" s="248"/>
      <c r="P949" s="248"/>
      <c r="Q949" s="248"/>
      <c r="R949" s="248"/>
      <c r="S949" s="248"/>
    </row>
    <row r="950" ht="15.75" customHeight="1">
      <c r="O950" s="248"/>
      <c r="P950" s="248"/>
      <c r="Q950" s="248"/>
      <c r="R950" s="248"/>
      <c r="S950" s="248"/>
    </row>
    <row r="951" ht="15.75" customHeight="1">
      <c r="O951" s="248"/>
      <c r="P951" s="248"/>
      <c r="Q951" s="248"/>
      <c r="R951" s="248"/>
      <c r="S951" s="248"/>
    </row>
    <row r="952" ht="15.75" customHeight="1">
      <c r="O952" s="248"/>
      <c r="P952" s="248"/>
      <c r="Q952" s="248"/>
      <c r="R952" s="248"/>
      <c r="S952" s="248"/>
    </row>
    <row r="953" ht="15.75" customHeight="1">
      <c r="O953" s="248"/>
      <c r="P953" s="248"/>
      <c r="Q953" s="248"/>
      <c r="R953" s="248"/>
      <c r="S953" s="248"/>
    </row>
    <row r="954" ht="15.75" customHeight="1">
      <c r="O954" s="248"/>
      <c r="P954" s="248"/>
      <c r="Q954" s="248"/>
      <c r="R954" s="248"/>
      <c r="S954" s="248"/>
    </row>
    <row r="955" ht="15.75" customHeight="1">
      <c r="O955" s="248"/>
      <c r="P955" s="248"/>
      <c r="Q955" s="248"/>
      <c r="R955" s="248"/>
      <c r="S955" s="248"/>
    </row>
    <row r="956" ht="15.75" customHeight="1">
      <c r="O956" s="248"/>
      <c r="P956" s="248"/>
      <c r="Q956" s="248"/>
      <c r="R956" s="248"/>
      <c r="S956" s="248"/>
    </row>
    <row r="957" ht="15.75" customHeight="1">
      <c r="O957" s="248"/>
      <c r="P957" s="248"/>
      <c r="Q957" s="248"/>
      <c r="R957" s="248"/>
      <c r="S957" s="248"/>
    </row>
    <row r="958" ht="15.75" customHeight="1">
      <c r="O958" s="248"/>
      <c r="P958" s="248"/>
      <c r="Q958" s="248"/>
      <c r="R958" s="248"/>
      <c r="S958" s="248"/>
    </row>
  </sheetData>
  <autoFilter ref="$A$2:$U$44">
    <filterColumn colId="13">
      <filters blank="1"/>
    </filterColumn>
  </autoFilter>
  <customSheetViews>
    <customSheetView guid="{C1874CF6-02F4-43E6-A928-067EC5E4A08C}" filter="1" showAutoFilter="1">
      <autoFilter ref="$G$2:$G$30"/>
    </customSheetView>
    <customSheetView guid="{7980442E-1377-4278-9173-05DC45F71867}" filter="1" showAutoFilter="1">
      <autoFilter ref="$A$2:$N$44">
        <filterColumn colId="10">
          <filters>
            <filter val="Campaigns"/>
            <filter val="G Ads"/>
          </filters>
        </filterColumn>
      </autoFilter>
    </customSheetView>
  </customSheetViews>
  <hyperlinks>
    <hyperlink r:id="rId2" ref="C44"/>
    <hyperlink r:id="rId3" ref="D44"/>
  </hyperlink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Col="2"/>
  <cols>
    <col customWidth="1" min="1" max="1" width="42.14"/>
    <col customWidth="1" min="2" max="2" width="22.57" outlineLevel="1"/>
    <col customWidth="1" min="3" max="3" width="17.0"/>
    <col customWidth="1" min="4" max="4" width="43.29"/>
    <col min="6" max="13" width="14.43" outlineLevel="1"/>
  </cols>
  <sheetData>
    <row r="1">
      <c r="A1" s="189" t="s">
        <v>1017</v>
      </c>
      <c r="B1" s="189" t="s">
        <v>1438</v>
      </c>
      <c r="C1" s="189" t="s">
        <v>1439</v>
      </c>
      <c r="D1" s="189" t="s">
        <v>1440</v>
      </c>
      <c r="E1" s="189" t="s">
        <v>1441</v>
      </c>
      <c r="F1" s="189" t="s">
        <v>8</v>
      </c>
      <c r="G1" s="189" t="s">
        <v>1022</v>
      </c>
      <c r="H1" s="189" t="s">
        <v>1442</v>
      </c>
      <c r="I1" s="189" t="s">
        <v>1443</v>
      </c>
      <c r="J1" s="189" t="s">
        <v>1444</v>
      </c>
      <c r="K1" s="189" t="s">
        <v>1023</v>
      </c>
      <c r="L1" s="189" t="s">
        <v>1025</v>
      </c>
      <c r="M1" s="189" t="s">
        <v>6</v>
      </c>
      <c r="N1" s="190" t="s">
        <v>1445</v>
      </c>
    </row>
    <row r="2">
      <c r="A2" s="191" t="s">
        <v>1446</v>
      </c>
      <c r="B2" s="191"/>
      <c r="C2" s="191" t="s">
        <v>1446</v>
      </c>
      <c r="D2" s="191" t="s">
        <v>1447</v>
      </c>
      <c r="E2" s="191" t="s">
        <v>1172</v>
      </c>
      <c r="F2" s="192">
        <f t="shared" ref="F2:F30" si="1">G2+M2</f>
        <v>28</v>
      </c>
      <c r="G2" s="193">
        <f t="shared" ref="G2:G30" si="2">SUM(H2:J2)</f>
        <v>22</v>
      </c>
      <c r="H2" s="194">
        <v>10.0</v>
      </c>
      <c r="I2" s="194">
        <v>7.0</v>
      </c>
      <c r="J2" s="194">
        <v>5.0</v>
      </c>
      <c r="K2" s="194">
        <v>2.0</v>
      </c>
      <c r="L2" s="194">
        <v>2.0</v>
      </c>
      <c r="M2" s="193">
        <f t="shared" ref="M2:M30" si="3">(5-K2)+(5-L2)</f>
        <v>6</v>
      </c>
      <c r="N2" s="190">
        <v>2025.0</v>
      </c>
    </row>
    <row r="3">
      <c r="A3" s="191" t="s">
        <v>1448</v>
      </c>
      <c r="B3" s="191" t="s">
        <v>1449</v>
      </c>
      <c r="C3" s="195" t="s">
        <v>1450</v>
      </c>
      <c r="D3" s="195" t="s">
        <v>1451</v>
      </c>
      <c r="E3" s="195" t="s">
        <v>27</v>
      </c>
      <c r="F3" s="192">
        <f t="shared" si="1"/>
        <v>26</v>
      </c>
      <c r="G3" s="193">
        <f t="shared" si="2"/>
        <v>21</v>
      </c>
      <c r="H3" s="193">
        <v>12.0</v>
      </c>
      <c r="I3" s="193">
        <v>7.0</v>
      </c>
      <c r="J3" s="193">
        <v>2.0</v>
      </c>
      <c r="K3" s="193">
        <v>1.0</v>
      </c>
      <c r="L3" s="193">
        <v>4.0</v>
      </c>
      <c r="M3" s="193">
        <f t="shared" si="3"/>
        <v>5</v>
      </c>
      <c r="N3" s="190">
        <v>2024.0</v>
      </c>
    </row>
    <row r="4">
      <c r="A4" s="191" t="s">
        <v>1452</v>
      </c>
      <c r="B4" s="191"/>
      <c r="C4" s="191" t="s">
        <v>1446</v>
      </c>
      <c r="D4" s="191" t="s">
        <v>1453</v>
      </c>
      <c r="E4" s="191" t="s">
        <v>1172</v>
      </c>
      <c r="F4" s="192">
        <f t="shared" si="1"/>
        <v>24</v>
      </c>
      <c r="G4" s="193">
        <f t="shared" si="2"/>
        <v>17</v>
      </c>
      <c r="H4" s="194">
        <v>7.0</v>
      </c>
      <c r="I4" s="194">
        <v>7.0</v>
      </c>
      <c r="J4" s="194">
        <v>3.0</v>
      </c>
      <c r="K4" s="194">
        <v>1.0</v>
      </c>
      <c r="L4" s="194">
        <v>2.0</v>
      </c>
      <c r="M4" s="193">
        <f t="shared" si="3"/>
        <v>7</v>
      </c>
      <c r="N4" s="190">
        <v>2024.0</v>
      </c>
    </row>
    <row r="5">
      <c r="A5" s="191" t="s">
        <v>1454</v>
      </c>
      <c r="B5" s="191" t="s">
        <v>1455</v>
      </c>
      <c r="C5" s="195"/>
      <c r="D5" s="195" t="s">
        <v>1456</v>
      </c>
      <c r="E5" s="195" t="s">
        <v>1172</v>
      </c>
      <c r="F5" s="192">
        <f t="shared" si="1"/>
        <v>23</v>
      </c>
      <c r="G5" s="193">
        <f t="shared" si="2"/>
        <v>16</v>
      </c>
      <c r="H5" s="193">
        <v>11.0</v>
      </c>
      <c r="I5" s="193">
        <v>3.0</v>
      </c>
      <c r="J5" s="193">
        <v>2.0</v>
      </c>
      <c r="K5" s="193">
        <v>2.0</v>
      </c>
      <c r="L5" s="193">
        <v>1.0</v>
      </c>
      <c r="M5" s="193">
        <f t="shared" si="3"/>
        <v>7</v>
      </c>
      <c r="N5" s="190">
        <v>2024.0</v>
      </c>
    </row>
    <row r="6">
      <c r="A6" s="195" t="s">
        <v>1457</v>
      </c>
      <c r="B6" s="191" t="s">
        <v>1458</v>
      </c>
      <c r="C6" s="195"/>
      <c r="D6" s="195" t="s">
        <v>1459</v>
      </c>
      <c r="E6" s="195" t="s">
        <v>27</v>
      </c>
      <c r="F6" s="192">
        <f t="shared" si="1"/>
        <v>23</v>
      </c>
      <c r="G6" s="193">
        <f t="shared" si="2"/>
        <v>16</v>
      </c>
      <c r="H6" s="193">
        <v>9.0</v>
      </c>
      <c r="I6" s="193">
        <v>5.0</v>
      </c>
      <c r="J6" s="193">
        <v>2.0</v>
      </c>
      <c r="K6" s="193">
        <v>1.0</v>
      </c>
      <c r="L6" s="193">
        <v>2.0</v>
      </c>
      <c r="M6" s="193">
        <f t="shared" si="3"/>
        <v>7</v>
      </c>
      <c r="N6" s="190">
        <v>2026.0</v>
      </c>
    </row>
    <row r="7">
      <c r="A7" s="191" t="s">
        <v>1460</v>
      </c>
      <c r="B7" s="191" t="s">
        <v>1458</v>
      </c>
      <c r="C7" s="191" t="s">
        <v>1461</v>
      </c>
      <c r="D7" s="195" t="s">
        <v>1462</v>
      </c>
      <c r="E7" s="195" t="s">
        <v>596</v>
      </c>
      <c r="F7" s="192">
        <f t="shared" si="1"/>
        <v>23</v>
      </c>
      <c r="G7" s="193">
        <f t="shared" si="2"/>
        <v>18</v>
      </c>
      <c r="H7" s="193">
        <v>10.0</v>
      </c>
      <c r="I7" s="193">
        <v>6.0</v>
      </c>
      <c r="J7" s="193">
        <v>2.0</v>
      </c>
      <c r="K7" s="193">
        <v>2.0</v>
      </c>
      <c r="L7" s="193">
        <v>3.0</v>
      </c>
      <c r="M7" s="193">
        <f t="shared" si="3"/>
        <v>5</v>
      </c>
      <c r="N7" s="190">
        <v>2024.0</v>
      </c>
    </row>
    <row r="8">
      <c r="A8" s="191" t="s">
        <v>1463</v>
      </c>
      <c r="B8" s="191" t="s">
        <v>1455</v>
      </c>
      <c r="C8" s="195" t="s">
        <v>1032</v>
      </c>
      <c r="D8" s="195" t="s">
        <v>1462</v>
      </c>
      <c r="E8" s="195" t="s">
        <v>596</v>
      </c>
      <c r="F8" s="192">
        <f t="shared" si="1"/>
        <v>22</v>
      </c>
      <c r="G8" s="193">
        <f t="shared" si="2"/>
        <v>17</v>
      </c>
      <c r="H8" s="193">
        <v>10.0</v>
      </c>
      <c r="I8" s="193">
        <v>4.0</v>
      </c>
      <c r="J8" s="193">
        <v>3.0</v>
      </c>
      <c r="K8" s="193">
        <v>3.0</v>
      </c>
      <c r="L8" s="193">
        <v>2.0</v>
      </c>
      <c r="M8" s="193">
        <f t="shared" si="3"/>
        <v>5</v>
      </c>
      <c r="N8" s="190">
        <v>2024.0</v>
      </c>
    </row>
    <row r="9">
      <c r="A9" s="195" t="s">
        <v>1464</v>
      </c>
      <c r="B9" s="191" t="s">
        <v>1458</v>
      </c>
      <c r="C9" s="195" t="s">
        <v>1465</v>
      </c>
      <c r="D9" s="195" t="s">
        <v>1462</v>
      </c>
      <c r="E9" s="195" t="s">
        <v>596</v>
      </c>
      <c r="F9" s="193">
        <f t="shared" si="1"/>
        <v>22</v>
      </c>
      <c r="G9" s="193">
        <f t="shared" si="2"/>
        <v>14</v>
      </c>
      <c r="H9" s="193">
        <v>8.0</v>
      </c>
      <c r="I9" s="193">
        <v>5.0</v>
      </c>
      <c r="J9" s="193">
        <v>1.0</v>
      </c>
      <c r="K9" s="193">
        <v>1.0</v>
      </c>
      <c r="L9" s="193">
        <v>1.0</v>
      </c>
      <c r="M9" s="193">
        <f t="shared" si="3"/>
        <v>8</v>
      </c>
      <c r="N9" s="190">
        <v>2025.0</v>
      </c>
    </row>
    <row r="10">
      <c r="A10" s="196" t="s">
        <v>1466</v>
      </c>
      <c r="B10" s="191" t="s">
        <v>1458</v>
      </c>
      <c r="C10" s="195" t="s">
        <v>1465</v>
      </c>
      <c r="D10" s="195" t="s">
        <v>1462</v>
      </c>
      <c r="E10" s="195" t="s">
        <v>596</v>
      </c>
      <c r="F10" s="192">
        <f t="shared" si="1"/>
        <v>22</v>
      </c>
      <c r="G10" s="193">
        <f t="shared" si="2"/>
        <v>15</v>
      </c>
      <c r="H10" s="193">
        <v>8.0</v>
      </c>
      <c r="I10" s="193">
        <v>5.0</v>
      </c>
      <c r="J10" s="193">
        <v>2.0</v>
      </c>
      <c r="K10" s="193">
        <v>2.0</v>
      </c>
      <c r="L10" s="193">
        <v>1.0</v>
      </c>
      <c r="M10" s="193">
        <f t="shared" si="3"/>
        <v>7</v>
      </c>
      <c r="N10" s="190">
        <v>2024.0</v>
      </c>
    </row>
    <row r="11">
      <c r="A11" s="195" t="s">
        <v>1467</v>
      </c>
      <c r="B11" s="191" t="s">
        <v>1458</v>
      </c>
      <c r="C11" s="195"/>
      <c r="D11" s="195" t="s">
        <v>1468</v>
      </c>
      <c r="E11" s="195" t="s">
        <v>596</v>
      </c>
      <c r="F11" s="192">
        <f t="shared" si="1"/>
        <v>22</v>
      </c>
      <c r="G11" s="193">
        <f t="shared" si="2"/>
        <v>16</v>
      </c>
      <c r="H11" s="193">
        <v>7.0</v>
      </c>
      <c r="I11" s="197">
        <v>5.0</v>
      </c>
      <c r="J11" s="193">
        <v>4.0</v>
      </c>
      <c r="K11" s="193">
        <v>2.0</v>
      </c>
      <c r="L11" s="193">
        <v>2.0</v>
      </c>
      <c r="M11" s="193">
        <f t="shared" si="3"/>
        <v>6</v>
      </c>
      <c r="N11" s="190">
        <v>2026.0</v>
      </c>
    </row>
    <row r="12">
      <c r="A12" s="195" t="s">
        <v>1469</v>
      </c>
      <c r="B12" s="191" t="s">
        <v>1470</v>
      </c>
      <c r="C12" s="195"/>
      <c r="D12" s="195" t="s">
        <v>1468</v>
      </c>
      <c r="E12" s="195" t="s">
        <v>596</v>
      </c>
      <c r="F12" s="192">
        <f t="shared" si="1"/>
        <v>22</v>
      </c>
      <c r="G12" s="193">
        <f t="shared" si="2"/>
        <v>17</v>
      </c>
      <c r="H12" s="193">
        <v>7.0</v>
      </c>
      <c r="I12" s="193">
        <v>5.0</v>
      </c>
      <c r="J12" s="193">
        <v>5.0</v>
      </c>
      <c r="K12" s="193">
        <v>2.0</v>
      </c>
      <c r="L12" s="193">
        <v>3.0</v>
      </c>
      <c r="M12" s="193">
        <f t="shared" si="3"/>
        <v>5</v>
      </c>
      <c r="N12" s="190">
        <v>2026.0</v>
      </c>
    </row>
    <row r="13">
      <c r="A13" s="195" t="s">
        <v>135</v>
      </c>
      <c r="B13" s="191" t="s">
        <v>1470</v>
      </c>
      <c r="C13" s="195" t="s">
        <v>1471</v>
      </c>
      <c r="D13" s="195" t="s">
        <v>1459</v>
      </c>
      <c r="E13" s="195" t="s">
        <v>27</v>
      </c>
      <c r="F13" s="192">
        <f t="shared" si="1"/>
        <v>22</v>
      </c>
      <c r="G13" s="193">
        <f t="shared" si="2"/>
        <v>16</v>
      </c>
      <c r="H13" s="193">
        <v>10.0</v>
      </c>
      <c r="I13" s="193">
        <v>4.0</v>
      </c>
      <c r="J13" s="193">
        <v>2.0</v>
      </c>
      <c r="K13" s="193">
        <v>1.0</v>
      </c>
      <c r="L13" s="193">
        <v>3.0</v>
      </c>
      <c r="M13" s="193">
        <f t="shared" si="3"/>
        <v>6</v>
      </c>
      <c r="N13" s="190">
        <v>2025.0</v>
      </c>
    </row>
    <row r="14">
      <c r="A14" s="191" t="s">
        <v>1472</v>
      </c>
      <c r="B14" s="191" t="s">
        <v>1458</v>
      </c>
      <c r="C14" s="191" t="s">
        <v>1461</v>
      </c>
      <c r="D14" s="195" t="s">
        <v>1462</v>
      </c>
      <c r="E14" s="195" t="s">
        <v>596</v>
      </c>
      <c r="F14" s="193">
        <f t="shared" si="1"/>
        <v>21</v>
      </c>
      <c r="G14" s="193">
        <f t="shared" si="2"/>
        <v>14</v>
      </c>
      <c r="H14" s="193">
        <v>8.0</v>
      </c>
      <c r="I14" s="193">
        <v>5.0</v>
      </c>
      <c r="J14" s="193">
        <v>1.0</v>
      </c>
      <c r="K14" s="193">
        <v>2.0</v>
      </c>
      <c r="L14" s="193">
        <v>1.0</v>
      </c>
      <c r="M14" s="193">
        <f t="shared" si="3"/>
        <v>7</v>
      </c>
      <c r="N14" s="190">
        <v>2024.0</v>
      </c>
    </row>
    <row r="15">
      <c r="A15" s="191" t="s">
        <v>329</v>
      </c>
      <c r="B15" s="191" t="s">
        <v>1470</v>
      </c>
      <c r="C15" s="191"/>
      <c r="D15" s="195" t="s">
        <v>1451</v>
      </c>
      <c r="E15" s="195" t="s">
        <v>27</v>
      </c>
      <c r="F15" s="192">
        <f t="shared" si="1"/>
        <v>21</v>
      </c>
      <c r="G15" s="193">
        <f t="shared" si="2"/>
        <v>16</v>
      </c>
      <c r="H15" s="193">
        <v>10.0</v>
      </c>
      <c r="I15" s="193">
        <v>5.0</v>
      </c>
      <c r="J15" s="193">
        <v>1.0</v>
      </c>
      <c r="K15" s="193">
        <v>2.0</v>
      </c>
      <c r="L15" s="193">
        <v>3.0</v>
      </c>
      <c r="M15" s="193">
        <f t="shared" si="3"/>
        <v>5</v>
      </c>
      <c r="N15" s="190">
        <v>2024.0</v>
      </c>
    </row>
    <row r="16">
      <c r="A16" s="191" t="s">
        <v>1473</v>
      </c>
      <c r="B16" s="191" t="s">
        <v>1455</v>
      </c>
      <c r="C16" s="195" t="s">
        <v>1242</v>
      </c>
      <c r="D16" s="195" t="s">
        <v>1462</v>
      </c>
      <c r="E16" s="195" t="s">
        <v>596</v>
      </c>
      <c r="F16" s="192">
        <f t="shared" si="1"/>
        <v>21</v>
      </c>
      <c r="G16" s="193">
        <f t="shared" si="2"/>
        <v>15</v>
      </c>
      <c r="H16" s="193">
        <v>10.0</v>
      </c>
      <c r="I16" s="193">
        <v>3.0</v>
      </c>
      <c r="J16" s="193">
        <v>2.0</v>
      </c>
      <c r="K16" s="193">
        <v>2.0</v>
      </c>
      <c r="L16" s="193">
        <v>2.0</v>
      </c>
      <c r="M16" s="193">
        <f t="shared" si="3"/>
        <v>6</v>
      </c>
      <c r="N16" s="190">
        <v>2024.0</v>
      </c>
    </row>
    <row r="17">
      <c r="A17" s="195" t="s">
        <v>1474</v>
      </c>
      <c r="B17" s="191" t="s">
        <v>1455</v>
      </c>
      <c r="C17" s="195" t="s">
        <v>1450</v>
      </c>
      <c r="D17" s="195" t="s">
        <v>1475</v>
      </c>
      <c r="E17" s="195" t="s">
        <v>27</v>
      </c>
      <c r="F17" s="192">
        <f t="shared" si="1"/>
        <v>21</v>
      </c>
      <c r="G17" s="193">
        <f t="shared" si="2"/>
        <v>16</v>
      </c>
      <c r="H17" s="193">
        <v>9.0</v>
      </c>
      <c r="I17" s="193">
        <v>5.0</v>
      </c>
      <c r="J17" s="193">
        <v>2.0</v>
      </c>
      <c r="K17" s="193">
        <v>2.0</v>
      </c>
      <c r="L17" s="193">
        <v>3.0</v>
      </c>
      <c r="M17" s="193">
        <f t="shared" si="3"/>
        <v>5</v>
      </c>
      <c r="N17" s="190">
        <v>2024.0</v>
      </c>
    </row>
    <row r="18">
      <c r="A18" s="195" t="s">
        <v>1256</v>
      </c>
      <c r="B18" s="191" t="s">
        <v>1476</v>
      </c>
      <c r="C18" s="195"/>
      <c r="D18" s="195" t="s">
        <v>1477</v>
      </c>
      <c r="E18" s="195" t="s">
        <v>968</v>
      </c>
      <c r="F18" s="192">
        <f t="shared" si="1"/>
        <v>21</v>
      </c>
      <c r="G18" s="193">
        <f t="shared" si="2"/>
        <v>17</v>
      </c>
      <c r="H18" s="193">
        <v>8.0</v>
      </c>
      <c r="I18" s="193">
        <v>7.0</v>
      </c>
      <c r="J18" s="193">
        <v>2.0</v>
      </c>
      <c r="K18" s="193">
        <v>4.0</v>
      </c>
      <c r="L18" s="193">
        <v>2.0</v>
      </c>
      <c r="M18" s="193">
        <f t="shared" si="3"/>
        <v>4</v>
      </c>
      <c r="N18" s="190">
        <v>2026.0</v>
      </c>
    </row>
    <row r="19">
      <c r="A19" s="195" t="s">
        <v>902</v>
      </c>
      <c r="B19" s="191" t="s">
        <v>1476</v>
      </c>
      <c r="C19" s="195"/>
      <c r="D19" s="195" t="s">
        <v>1478</v>
      </c>
      <c r="E19" s="195" t="s">
        <v>968</v>
      </c>
      <c r="F19" s="192">
        <f t="shared" si="1"/>
        <v>21</v>
      </c>
      <c r="G19" s="193">
        <f t="shared" si="2"/>
        <v>18</v>
      </c>
      <c r="H19" s="193">
        <v>8.0</v>
      </c>
      <c r="I19" s="193">
        <v>6.0</v>
      </c>
      <c r="J19" s="193">
        <v>4.0</v>
      </c>
      <c r="K19" s="193">
        <v>4.0</v>
      </c>
      <c r="L19" s="193">
        <v>3.0</v>
      </c>
      <c r="M19" s="193">
        <f t="shared" si="3"/>
        <v>3</v>
      </c>
      <c r="N19" s="190">
        <v>2026.0</v>
      </c>
    </row>
    <row r="20">
      <c r="A20" s="195" t="s">
        <v>1479</v>
      </c>
      <c r="B20" s="191" t="s">
        <v>1458</v>
      </c>
      <c r="C20" s="195"/>
      <c r="D20" s="195" t="s">
        <v>1480</v>
      </c>
      <c r="E20" s="195" t="s">
        <v>526</v>
      </c>
      <c r="F20" s="192">
        <f t="shared" si="1"/>
        <v>21</v>
      </c>
      <c r="G20" s="193">
        <f t="shared" si="2"/>
        <v>14</v>
      </c>
      <c r="H20" s="193">
        <v>6.0</v>
      </c>
      <c r="I20" s="193">
        <v>6.0</v>
      </c>
      <c r="J20" s="193">
        <v>2.0</v>
      </c>
      <c r="K20" s="193">
        <v>1.0</v>
      </c>
      <c r="L20" s="193">
        <v>2.0</v>
      </c>
      <c r="M20" s="193">
        <f t="shared" si="3"/>
        <v>7</v>
      </c>
      <c r="N20" s="190">
        <v>2026.0</v>
      </c>
    </row>
    <row r="21">
      <c r="A21" s="191" t="s">
        <v>1481</v>
      </c>
      <c r="B21" s="191"/>
      <c r="C21" s="191" t="s">
        <v>1446</v>
      </c>
      <c r="D21" s="191" t="s">
        <v>1482</v>
      </c>
      <c r="E21" s="191" t="s">
        <v>1172</v>
      </c>
      <c r="F21" s="192">
        <f t="shared" si="1"/>
        <v>20</v>
      </c>
      <c r="G21" s="193">
        <f t="shared" si="2"/>
        <v>16</v>
      </c>
      <c r="H21" s="194">
        <v>8.0</v>
      </c>
      <c r="I21" s="194">
        <v>5.0</v>
      </c>
      <c r="J21" s="194">
        <v>3.0</v>
      </c>
      <c r="K21" s="194">
        <v>4.0</v>
      </c>
      <c r="L21" s="194">
        <v>2.0</v>
      </c>
      <c r="M21" s="193">
        <f t="shared" si="3"/>
        <v>4</v>
      </c>
      <c r="N21" s="190">
        <v>2024.0</v>
      </c>
    </row>
    <row r="22">
      <c r="A22" s="195" t="s">
        <v>1483</v>
      </c>
      <c r="B22" s="191" t="s">
        <v>1449</v>
      </c>
      <c r="C22" s="195" t="s">
        <v>1484</v>
      </c>
      <c r="D22" s="195" t="s">
        <v>1485</v>
      </c>
      <c r="E22" s="195" t="s">
        <v>526</v>
      </c>
      <c r="F22" s="193">
        <f t="shared" si="1"/>
        <v>20</v>
      </c>
      <c r="G22" s="193">
        <f t="shared" si="2"/>
        <v>16</v>
      </c>
      <c r="H22" s="193">
        <v>7.0</v>
      </c>
      <c r="I22" s="193">
        <v>6.0</v>
      </c>
      <c r="J22" s="193">
        <v>3.0</v>
      </c>
      <c r="K22" s="193">
        <v>4.0</v>
      </c>
      <c r="L22" s="193">
        <v>2.0</v>
      </c>
      <c r="M22" s="193">
        <f t="shared" si="3"/>
        <v>4</v>
      </c>
      <c r="N22" s="190">
        <v>2025.0</v>
      </c>
    </row>
    <row r="23">
      <c r="A23" s="195" t="s">
        <v>1486</v>
      </c>
      <c r="B23" s="191" t="s">
        <v>1458</v>
      </c>
      <c r="C23" s="191" t="s">
        <v>1461</v>
      </c>
      <c r="D23" s="195" t="s">
        <v>1462</v>
      </c>
      <c r="E23" s="195" t="s">
        <v>596</v>
      </c>
      <c r="F23" s="193">
        <f t="shared" si="1"/>
        <v>20</v>
      </c>
      <c r="G23" s="193">
        <f t="shared" si="2"/>
        <v>13</v>
      </c>
      <c r="H23" s="193">
        <v>7.0</v>
      </c>
      <c r="I23" s="193">
        <v>5.0</v>
      </c>
      <c r="J23" s="193">
        <v>1.0</v>
      </c>
      <c r="K23" s="193">
        <v>1.0</v>
      </c>
      <c r="L23" s="193">
        <v>2.0</v>
      </c>
      <c r="M23" s="193">
        <f t="shared" si="3"/>
        <v>7</v>
      </c>
      <c r="N23" s="190">
        <v>2024.0</v>
      </c>
    </row>
    <row r="24">
      <c r="A24" s="191" t="s">
        <v>1487</v>
      </c>
      <c r="B24" s="191"/>
      <c r="C24" s="191" t="s">
        <v>1446</v>
      </c>
      <c r="D24" s="191" t="s">
        <v>1488</v>
      </c>
      <c r="E24" s="191" t="s">
        <v>1172</v>
      </c>
      <c r="F24" s="192">
        <f t="shared" si="1"/>
        <v>19</v>
      </c>
      <c r="G24" s="193">
        <f t="shared" si="2"/>
        <v>15</v>
      </c>
      <c r="H24" s="194">
        <v>6.0</v>
      </c>
      <c r="I24" s="194">
        <v>7.0</v>
      </c>
      <c r="J24" s="194">
        <v>2.0</v>
      </c>
      <c r="K24" s="194">
        <v>3.0</v>
      </c>
      <c r="L24" s="194">
        <v>3.0</v>
      </c>
      <c r="M24" s="193">
        <f t="shared" si="3"/>
        <v>4</v>
      </c>
      <c r="N24" s="190">
        <v>2024.0</v>
      </c>
    </row>
    <row r="25">
      <c r="A25" s="191" t="s">
        <v>1489</v>
      </c>
      <c r="B25" s="191"/>
      <c r="C25" s="191" t="s">
        <v>1446</v>
      </c>
      <c r="D25" s="195" t="s">
        <v>1490</v>
      </c>
      <c r="E25" s="195" t="s">
        <v>1172</v>
      </c>
      <c r="F25" s="192">
        <f t="shared" si="1"/>
        <v>19</v>
      </c>
      <c r="G25" s="193">
        <f t="shared" si="2"/>
        <v>16</v>
      </c>
      <c r="H25" s="193">
        <v>10.0</v>
      </c>
      <c r="I25" s="193">
        <v>4.0</v>
      </c>
      <c r="J25" s="193">
        <v>2.0</v>
      </c>
      <c r="K25" s="193">
        <v>5.0</v>
      </c>
      <c r="L25" s="193">
        <v>2.0</v>
      </c>
      <c r="M25" s="193">
        <f t="shared" si="3"/>
        <v>3</v>
      </c>
      <c r="N25" s="190">
        <v>2024.0</v>
      </c>
    </row>
    <row r="26">
      <c r="A26" s="191" t="s">
        <v>1491</v>
      </c>
      <c r="B26" s="191"/>
      <c r="C26" s="195" t="s">
        <v>1471</v>
      </c>
      <c r="D26" s="191" t="s">
        <v>1492</v>
      </c>
      <c r="E26" s="191" t="s">
        <v>27</v>
      </c>
      <c r="F26" s="192">
        <f t="shared" si="1"/>
        <v>19</v>
      </c>
      <c r="G26" s="193">
        <f t="shared" si="2"/>
        <v>16</v>
      </c>
      <c r="H26" s="194">
        <v>10.0</v>
      </c>
      <c r="I26" s="194">
        <v>3.0</v>
      </c>
      <c r="J26" s="194">
        <v>3.0</v>
      </c>
      <c r="K26" s="194">
        <v>2.0</v>
      </c>
      <c r="L26" s="194">
        <v>5.0</v>
      </c>
      <c r="M26" s="193">
        <f t="shared" si="3"/>
        <v>3</v>
      </c>
      <c r="N26" s="190">
        <v>2025.0</v>
      </c>
    </row>
    <row r="27">
      <c r="A27" s="191" t="s">
        <v>1493</v>
      </c>
      <c r="B27" s="191" t="s">
        <v>1455</v>
      </c>
      <c r="C27" s="191" t="s">
        <v>1461</v>
      </c>
      <c r="D27" s="195" t="s">
        <v>1462</v>
      </c>
      <c r="E27" s="191" t="s">
        <v>526</v>
      </c>
      <c r="F27" s="192">
        <f t="shared" si="1"/>
        <v>19</v>
      </c>
      <c r="G27" s="193">
        <f t="shared" si="2"/>
        <v>17</v>
      </c>
      <c r="H27" s="194">
        <v>10.0</v>
      </c>
      <c r="I27" s="193">
        <v>4.0</v>
      </c>
      <c r="J27" s="193">
        <v>3.0</v>
      </c>
      <c r="K27" s="193">
        <v>4.0</v>
      </c>
      <c r="L27" s="194">
        <v>4.0</v>
      </c>
      <c r="M27" s="193">
        <f t="shared" si="3"/>
        <v>2</v>
      </c>
      <c r="N27" s="190">
        <v>2024.0</v>
      </c>
    </row>
    <row r="28">
      <c r="A28" s="195" t="s">
        <v>1494</v>
      </c>
      <c r="B28" s="191" t="s">
        <v>1458</v>
      </c>
      <c r="C28" s="195" t="s">
        <v>1471</v>
      </c>
      <c r="D28" s="195" t="s">
        <v>1495</v>
      </c>
      <c r="E28" s="195" t="s">
        <v>27</v>
      </c>
      <c r="F28" s="192">
        <f t="shared" si="1"/>
        <v>19</v>
      </c>
      <c r="G28" s="193">
        <f t="shared" si="2"/>
        <v>16</v>
      </c>
      <c r="H28" s="193">
        <v>10.0</v>
      </c>
      <c r="I28" s="193">
        <v>4.0</v>
      </c>
      <c r="J28" s="193">
        <v>2.0</v>
      </c>
      <c r="K28" s="193">
        <v>2.0</v>
      </c>
      <c r="L28" s="193">
        <v>5.0</v>
      </c>
      <c r="M28" s="193">
        <f t="shared" si="3"/>
        <v>3</v>
      </c>
      <c r="N28" s="190">
        <v>2024.0</v>
      </c>
    </row>
    <row r="29">
      <c r="A29" s="191" t="s">
        <v>1496</v>
      </c>
      <c r="B29" s="191" t="s">
        <v>1476</v>
      </c>
      <c r="C29" s="195"/>
      <c r="D29" s="195" t="s">
        <v>1497</v>
      </c>
      <c r="E29" s="195" t="s">
        <v>830</v>
      </c>
      <c r="F29" s="192">
        <f t="shared" si="1"/>
        <v>19</v>
      </c>
      <c r="G29" s="193">
        <f t="shared" si="2"/>
        <v>12</v>
      </c>
      <c r="H29" s="193">
        <v>6.0</v>
      </c>
      <c r="I29" s="193">
        <v>5.0</v>
      </c>
      <c r="J29" s="193">
        <v>1.0</v>
      </c>
      <c r="K29" s="193">
        <v>2.0</v>
      </c>
      <c r="L29" s="193">
        <v>1.0</v>
      </c>
      <c r="M29" s="193">
        <f t="shared" si="3"/>
        <v>7</v>
      </c>
      <c r="N29" s="190">
        <v>2025.0</v>
      </c>
    </row>
    <row r="30">
      <c r="A30" s="195" t="s">
        <v>872</v>
      </c>
      <c r="B30" s="191" t="s">
        <v>1498</v>
      </c>
      <c r="C30" s="195"/>
      <c r="D30" s="195" t="s">
        <v>1459</v>
      </c>
      <c r="E30" s="195" t="s">
        <v>27</v>
      </c>
      <c r="F30" s="192">
        <f t="shared" si="1"/>
        <v>19</v>
      </c>
      <c r="G30" s="193">
        <f t="shared" si="2"/>
        <v>17</v>
      </c>
      <c r="H30" s="193">
        <v>10.0</v>
      </c>
      <c r="I30" s="193">
        <v>5.0</v>
      </c>
      <c r="J30" s="193">
        <v>2.0</v>
      </c>
      <c r="K30" s="193">
        <v>5.0</v>
      </c>
      <c r="L30" s="193">
        <v>3.0</v>
      </c>
      <c r="M30" s="193">
        <f t="shared" si="3"/>
        <v>2</v>
      </c>
      <c r="N30" s="190">
        <v>2025.0</v>
      </c>
    </row>
    <row r="31">
      <c r="A31" s="190" t="s">
        <v>1499</v>
      </c>
      <c r="B31" s="190" t="s">
        <v>1455</v>
      </c>
      <c r="D31" s="190" t="s">
        <v>1500</v>
      </c>
      <c r="N31" s="190">
        <v>2025.0</v>
      </c>
    </row>
    <row r="32">
      <c r="A32" s="190" t="s">
        <v>1501</v>
      </c>
      <c r="B32" s="190" t="s">
        <v>1455</v>
      </c>
      <c r="D32" s="190" t="s">
        <v>1502</v>
      </c>
      <c r="N32" s="190">
        <v>2025.0</v>
      </c>
    </row>
  </sheetData>
  <autoFilter ref="$A$1:$W$32">
    <sortState ref="A1:W32">
      <sortCondition descending="1" ref="F1:F32"/>
    </sortState>
  </autoFilter>
  <customSheetViews>
    <customSheetView guid="{7980442E-1377-4278-9173-05DC45F71867}" filter="1" showAutoFilter="1">
      <autoFilter ref="$A$1:$M$74">
        <sortState ref="A1:M74">
          <sortCondition descending="1" ref="F1:F74"/>
          <sortCondition descending="1" ref="B1:B74"/>
        </sortState>
      </autoFilter>
    </customSheetView>
  </customSheetViews>
  <hyperlinks>
    <hyperlink r:id="rId2" ref="A10"/>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outlineLevelCol="2"/>
  <cols>
    <col customWidth="1" min="1" max="2" width="14.43"/>
    <col customWidth="1" min="3" max="3" width="9.57"/>
    <col customWidth="1" min="4" max="5" width="43.86"/>
    <col customWidth="1" min="6" max="6" width="10.86" outlineLevel="1"/>
    <col customWidth="1" min="7" max="8" width="9.57" outlineLevel="2"/>
    <col customWidth="1" min="9" max="10" width="9.57" outlineLevel="1"/>
    <col customWidth="1" min="11" max="13" width="9.57"/>
    <col customWidth="1" min="14" max="14" width="16.43"/>
    <col customWidth="1" min="15" max="15" width="103.71"/>
    <col customWidth="1" min="16" max="16" width="9.71"/>
  </cols>
  <sheetData>
    <row r="1" ht="15.75" customHeight="1">
      <c r="A1" s="116" t="s">
        <v>1015</v>
      </c>
      <c r="B1" s="117" t="s">
        <v>1017</v>
      </c>
      <c r="C1" s="117" t="s">
        <v>953</v>
      </c>
      <c r="D1" s="117" t="s">
        <v>2</v>
      </c>
      <c r="E1" s="117" t="s">
        <v>1503</v>
      </c>
      <c r="F1" s="117" t="s">
        <v>4</v>
      </c>
      <c r="G1" s="117" t="s">
        <v>1023</v>
      </c>
      <c r="H1" s="117" t="s">
        <v>1025</v>
      </c>
      <c r="I1" s="117" t="s">
        <v>6</v>
      </c>
      <c r="J1" s="117" t="s">
        <v>8</v>
      </c>
      <c r="K1" s="117" t="s">
        <v>1504</v>
      </c>
      <c r="L1" s="119" t="s">
        <v>9</v>
      </c>
      <c r="M1" s="120" t="s">
        <v>1505</v>
      </c>
      <c r="N1" s="120" t="s">
        <v>1</v>
      </c>
      <c r="O1" s="116" t="s">
        <v>445</v>
      </c>
      <c r="P1" s="116" t="s">
        <v>1027</v>
      </c>
    </row>
    <row r="2" ht="15.75" hidden="1" customHeight="1">
      <c r="A2" s="198" t="s">
        <v>1506</v>
      </c>
      <c r="B2" s="198" t="s">
        <v>1507</v>
      </c>
      <c r="C2" s="199"/>
      <c r="D2" s="200" t="s">
        <v>1508</v>
      </c>
      <c r="E2" s="200" t="s">
        <v>1509</v>
      </c>
      <c r="F2" s="200">
        <v>14.0</v>
      </c>
      <c r="G2" s="200">
        <v>0.0</v>
      </c>
      <c r="H2" s="200">
        <v>1.0</v>
      </c>
      <c r="I2" s="200">
        <f t="shared" ref="I2:I4" si="1">(6-G2)+(6-H2)</f>
        <v>11</v>
      </c>
      <c r="J2" s="200">
        <f t="shared" ref="J2:J4" si="2">I2+F2</f>
        <v>25</v>
      </c>
      <c r="K2" s="200" t="s">
        <v>1510</v>
      </c>
      <c r="L2" s="201">
        <v>0.8</v>
      </c>
      <c r="M2" s="202">
        <v>43966.0</v>
      </c>
      <c r="N2" s="203" t="s">
        <v>21</v>
      </c>
      <c r="O2" s="198" t="s">
        <v>1511</v>
      </c>
      <c r="P2" s="198" t="s">
        <v>1512</v>
      </c>
    </row>
    <row r="3" ht="15.75" customHeight="1">
      <c r="A3" s="134" t="s">
        <v>1506</v>
      </c>
      <c r="B3" s="134" t="s">
        <v>1513</v>
      </c>
      <c r="C3" s="162"/>
      <c r="D3" s="136" t="s">
        <v>1514</v>
      </c>
      <c r="E3" s="136" t="s">
        <v>1515</v>
      </c>
      <c r="F3" s="136">
        <v>14.0</v>
      </c>
      <c r="G3" s="136">
        <v>0.0</v>
      </c>
      <c r="H3" s="136">
        <v>1.0</v>
      </c>
      <c r="I3" s="136">
        <f t="shared" si="1"/>
        <v>11</v>
      </c>
      <c r="J3" s="136">
        <f t="shared" si="2"/>
        <v>25</v>
      </c>
      <c r="K3" s="136" t="s">
        <v>1510</v>
      </c>
      <c r="L3" s="155">
        <v>0.8</v>
      </c>
      <c r="M3" s="204">
        <f>M6</f>
        <v>43966</v>
      </c>
      <c r="N3" s="137" t="s">
        <v>596</v>
      </c>
      <c r="O3" s="134" t="s">
        <v>1516</v>
      </c>
      <c r="P3" s="134"/>
    </row>
    <row r="4" ht="15.75" hidden="1" customHeight="1">
      <c r="A4" s="198" t="s">
        <v>1517</v>
      </c>
      <c r="B4" s="198" t="s">
        <v>1518</v>
      </c>
      <c r="C4" s="205" t="s">
        <v>1519</v>
      </c>
      <c r="D4" s="200" t="s">
        <v>1520</v>
      </c>
      <c r="E4" s="200" t="s">
        <v>1521</v>
      </c>
      <c r="F4" s="200">
        <v>18.0</v>
      </c>
      <c r="G4" s="200">
        <v>0.0</v>
      </c>
      <c r="H4" s="200">
        <v>5.0</v>
      </c>
      <c r="I4" s="200">
        <f t="shared" si="1"/>
        <v>7</v>
      </c>
      <c r="J4" s="200">
        <f t="shared" si="2"/>
        <v>25</v>
      </c>
      <c r="K4" s="200" t="s">
        <v>1510</v>
      </c>
      <c r="L4" s="201">
        <v>1.0</v>
      </c>
      <c r="M4" s="202">
        <v>43936.0</v>
      </c>
      <c r="N4" s="203" t="s">
        <v>1522</v>
      </c>
      <c r="O4" s="198" t="s">
        <v>1523</v>
      </c>
      <c r="P4" s="198" t="s">
        <v>1512</v>
      </c>
    </row>
    <row r="5" ht="15.75" hidden="1" customHeight="1">
      <c r="A5" s="206" t="s">
        <v>1506</v>
      </c>
      <c r="B5" s="206" t="s">
        <v>1524</v>
      </c>
      <c r="C5" s="207"/>
      <c r="D5" s="208" t="s">
        <v>1525</v>
      </c>
      <c r="E5" s="208"/>
      <c r="F5" s="208"/>
      <c r="G5" s="208"/>
      <c r="H5" s="208"/>
      <c r="I5" s="208"/>
      <c r="J5" s="208"/>
      <c r="K5" s="208"/>
      <c r="L5" s="209"/>
      <c r="M5" s="210"/>
      <c r="N5" s="211"/>
      <c r="O5" s="206"/>
      <c r="P5" s="206" t="s">
        <v>1512</v>
      </c>
    </row>
    <row r="6" ht="15.75" customHeight="1">
      <c r="A6" s="123" t="s">
        <v>27</v>
      </c>
      <c r="B6" s="123" t="s">
        <v>42</v>
      </c>
      <c r="C6" s="158"/>
      <c r="D6" s="125" t="s">
        <v>1526</v>
      </c>
      <c r="E6" s="125" t="s">
        <v>1527</v>
      </c>
      <c r="F6" s="125">
        <v>18.0</v>
      </c>
      <c r="G6" s="125">
        <v>1.0</v>
      </c>
      <c r="H6" s="125">
        <v>5.0</v>
      </c>
      <c r="I6" s="125">
        <f t="shared" ref="I6:I21" si="3">(6-G6)+(6-H6)</f>
        <v>6</v>
      </c>
      <c r="J6" s="125">
        <f t="shared" ref="J6:J21" si="4">I6+F6</f>
        <v>24</v>
      </c>
      <c r="K6" s="125" t="s">
        <v>1510</v>
      </c>
      <c r="L6" s="139">
        <v>0.0</v>
      </c>
      <c r="M6" s="212">
        <v>43966.0</v>
      </c>
      <c r="N6" s="133" t="s">
        <v>21</v>
      </c>
      <c r="O6" s="123" t="s">
        <v>1528</v>
      </c>
      <c r="P6" s="123"/>
    </row>
    <row r="7" ht="15.75" customHeight="1">
      <c r="A7" s="134" t="s">
        <v>596</v>
      </c>
      <c r="B7" s="134" t="s">
        <v>1180</v>
      </c>
      <c r="C7" s="162"/>
      <c r="D7" s="136" t="s">
        <v>1182</v>
      </c>
      <c r="E7" s="136" t="s">
        <v>1183</v>
      </c>
      <c r="F7" s="136">
        <v>18.0</v>
      </c>
      <c r="G7" s="136">
        <v>5.0</v>
      </c>
      <c r="H7" s="136">
        <v>3.0</v>
      </c>
      <c r="I7" s="136">
        <f t="shared" si="3"/>
        <v>4</v>
      </c>
      <c r="J7" s="136">
        <f t="shared" si="4"/>
        <v>22</v>
      </c>
      <c r="K7" s="136" t="s">
        <v>1529</v>
      </c>
      <c r="L7" s="155">
        <v>0.2</v>
      </c>
      <c r="M7" s="137" t="s">
        <v>1530</v>
      </c>
      <c r="N7" s="137" t="s">
        <v>1531</v>
      </c>
      <c r="O7" s="134" t="s">
        <v>1192</v>
      </c>
      <c r="P7" s="134"/>
    </row>
    <row r="8" ht="15.75" hidden="1" customHeight="1">
      <c r="A8" s="198" t="s">
        <v>1172</v>
      </c>
      <c r="B8" s="198" t="s">
        <v>1532</v>
      </c>
      <c r="C8" s="213" t="s">
        <v>1533</v>
      </c>
      <c r="D8" s="200" t="s">
        <v>1534</v>
      </c>
      <c r="E8" s="200" t="s">
        <v>1535</v>
      </c>
      <c r="F8" s="200">
        <v>15.0</v>
      </c>
      <c r="G8" s="200">
        <v>3.0</v>
      </c>
      <c r="H8" s="200">
        <v>3.0</v>
      </c>
      <c r="I8" s="200">
        <f t="shared" si="3"/>
        <v>6</v>
      </c>
      <c r="J8" s="200">
        <f t="shared" si="4"/>
        <v>21</v>
      </c>
      <c r="K8" s="200" t="s">
        <v>1529</v>
      </c>
      <c r="L8" s="201">
        <v>0.0</v>
      </c>
      <c r="M8" s="202">
        <v>43952.0</v>
      </c>
      <c r="N8" s="203" t="s">
        <v>1536</v>
      </c>
      <c r="O8" s="198" t="s">
        <v>1537</v>
      </c>
      <c r="P8" s="198" t="s">
        <v>1512</v>
      </c>
    </row>
    <row r="9" ht="15.75" hidden="1" customHeight="1">
      <c r="A9" s="206" t="s">
        <v>1172</v>
      </c>
      <c r="B9" s="206" t="s">
        <v>1538</v>
      </c>
      <c r="C9" s="214" t="s">
        <v>1539</v>
      </c>
      <c r="D9" s="208" t="s">
        <v>1540</v>
      </c>
      <c r="E9" s="208" t="s">
        <v>1541</v>
      </c>
      <c r="F9" s="208">
        <v>10.0</v>
      </c>
      <c r="G9" s="208">
        <v>1.0</v>
      </c>
      <c r="H9" s="208">
        <v>1.0</v>
      </c>
      <c r="I9" s="208">
        <f t="shared" si="3"/>
        <v>10</v>
      </c>
      <c r="J9" s="208">
        <f t="shared" si="4"/>
        <v>20</v>
      </c>
      <c r="K9" s="208" t="s">
        <v>1529</v>
      </c>
      <c r="L9" s="209">
        <v>1.0</v>
      </c>
      <c r="M9" s="210">
        <v>43936.0</v>
      </c>
      <c r="N9" s="211" t="s">
        <v>596</v>
      </c>
      <c r="O9" s="206" t="s">
        <v>1542</v>
      </c>
      <c r="P9" s="206" t="s">
        <v>1512</v>
      </c>
    </row>
    <row r="10" ht="15.75" customHeight="1">
      <c r="A10" s="123" t="s">
        <v>27</v>
      </c>
      <c r="B10" s="123" t="s">
        <v>1543</v>
      </c>
      <c r="C10" s="158"/>
      <c r="D10" s="125" t="s">
        <v>1544</v>
      </c>
      <c r="E10" s="125" t="s">
        <v>1545</v>
      </c>
      <c r="F10" s="125">
        <v>12.0</v>
      </c>
      <c r="G10" s="125">
        <v>3.0</v>
      </c>
      <c r="H10" s="125">
        <v>1.0</v>
      </c>
      <c r="I10" s="125">
        <f t="shared" si="3"/>
        <v>8</v>
      </c>
      <c r="J10" s="125">
        <f t="shared" si="4"/>
        <v>20</v>
      </c>
      <c r="K10" s="125" t="s">
        <v>1529</v>
      </c>
      <c r="L10" s="139">
        <v>0.0</v>
      </c>
      <c r="M10" s="212">
        <v>43951.0</v>
      </c>
      <c r="N10" s="133" t="s">
        <v>1536</v>
      </c>
      <c r="O10" s="123" t="s">
        <v>1546</v>
      </c>
      <c r="P10" s="123"/>
    </row>
    <row r="11" ht="15.75" customHeight="1">
      <c r="A11" s="134" t="s">
        <v>27</v>
      </c>
      <c r="B11" s="134" t="s">
        <v>195</v>
      </c>
      <c r="C11" s="162"/>
      <c r="D11" s="136" t="s">
        <v>1547</v>
      </c>
      <c r="E11" s="136" t="s">
        <v>1548</v>
      </c>
      <c r="F11" s="136">
        <v>13.0</v>
      </c>
      <c r="G11" s="136">
        <v>2.0</v>
      </c>
      <c r="H11" s="136">
        <v>4.0</v>
      </c>
      <c r="I11" s="136">
        <f t="shared" si="3"/>
        <v>6</v>
      </c>
      <c r="J11" s="136">
        <f t="shared" si="4"/>
        <v>19</v>
      </c>
      <c r="K11" s="136" t="s">
        <v>1549</v>
      </c>
      <c r="L11" s="155">
        <v>0.0</v>
      </c>
      <c r="M11" s="204">
        <v>43997.0</v>
      </c>
      <c r="N11" s="137" t="s">
        <v>21</v>
      </c>
      <c r="O11" s="134" t="s">
        <v>1212</v>
      </c>
      <c r="P11" s="134"/>
    </row>
    <row r="12" ht="15.75" customHeight="1">
      <c r="A12" s="123" t="s">
        <v>185</v>
      </c>
      <c r="B12" s="123" t="s">
        <v>1550</v>
      </c>
      <c r="C12" s="158"/>
      <c r="D12" s="125" t="s">
        <v>1551</v>
      </c>
      <c r="E12" s="125" t="s">
        <v>1552</v>
      </c>
      <c r="F12" s="125">
        <v>10.0</v>
      </c>
      <c r="G12" s="125">
        <v>1.0</v>
      </c>
      <c r="H12" s="125">
        <v>3.0</v>
      </c>
      <c r="I12" s="125">
        <f t="shared" si="3"/>
        <v>8</v>
      </c>
      <c r="J12" s="125">
        <f t="shared" si="4"/>
        <v>18</v>
      </c>
      <c r="K12" s="125" t="s">
        <v>1549</v>
      </c>
      <c r="L12" s="139">
        <v>0.0</v>
      </c>
      <c r="M12" s="212">
        <v>43952.0</v>
      </c>
      <c r="N12" s="133" t="s">
        <v>1553</v>
      </c>
      <c r="O12" s="123"/>
      <c r="P12" s="123"/>
    </row>
    <row r="13" ht="15.75" customHeight="1">
      <c r="A13" s="134" t="s">
        <v>526</v>
      </c>
      <c r="B13" s="134" t="s">
        <v>1301</v>
      </c>
      <c r="C13" s="215"/>
      <c r="D13" s="136" t="s">
        <v>1302</v>
      </c>
      <c r="E13" s="136" t="s">
        <v>1554</v>
      </c>
      <c r="F13" s="136">
        <v>11.0</v>
      </c>
      <c r="G13" s="136">
        <v>4.0</v>
      </c>
      <c r="H13" s="136">
        <v>1.0</v>
      </c>
      <c r="I13" s="136">
        <f t="shared" si="3"/>
        <v>7</v>
      </c>
      <c r="J13" s="136">
        <f t="shared" si="4"/>
        <v>18</v>
      </c>
      <c r="K13" s="136" t="s">
        <v>1549</v>
      </c>
      <c r="L13" s="155">
        <v>0.0</v>
      </c>
      <c r="M13" s="204">
        <v>44012.0</v>
      </c>
      <c r="N13" s="137" t="s">
        <v>596</v>
      </c>
      <c r="O13" s="134"/>
      <c r="P13" s="134"/>
    </row>
    <row r="14" ht="15.75" customHeight="1">
      <c r="A14" s="123" t="s">
        <v>27</v>
      </c>
      <c r="B14" s="123" t="s">
        <v>1555</v>
      </c>
      <c r="C14" s="216" t="s">
        <v>1318</v>
      </c>
      <c r="D14" s="125" t="s">
        <v>1556</v>
      </c>
      <c r="E14" s="125" t="s">
        <v>1557</v>
      </c>
      <c r="F14" s="125">
        <v>9.0</v>
      </c>
      <c r="G14" s="125">
        <v>1.0</v>
      </c>
      <c r="H14" s="125">
        <v>2.0</v>
      </c>
      <c r="I14" s="125">
        <f t="shared" si="3"/>
        <v>9</v>
      </c>
      <c r="J14" s="125">
        <f t="shared" si="4"/>
        <v>18</v>
      </c>
      <c r="K14" s="125" t="s">
        <v>1549</v>
      </c>
      <c r="L14" s="139">
        <v>0.5</v>
      </c>
      <c r="M14" s="212">
        <v>44012.0</v>
      </c>
      <c r="N14" s="133" t="s">
        <v>1531</v>
      </c>
      <c r="O14" s="123" t="s">
        <v>1558</v>
      </c>
      <c r="P14" s="123"/>
    </row>
    <row r="15" ht="15.75" customHeight="1">
      <c r="A15" s="134" t="s">
        <v>27</v>
      </c>
      <c r="B15" s="134" t="s">
        <v>1559</v>
      </c>
      <c r="C15" s="217" t="s">
        <v>1318</v>
      </c>
      <c r="D15" s="136" t="s">
        <v>1560</v>
      </c>
      <c r="E15" s="136" t="s">
        <v>1561</v>
      </c>
      <c r="F15" s="136">
        <v>12.0</v>
      </c>
      <c r="G15" s="136">
        <v>3.0</v>
      </c>
      <c r="H15" s="136">
        <v>3.0</v>
      </c>
      <c r="I15" s="136">
        <f t="shared" si="3"/>
        <v>6</v>
      </c>
      <c r="J15" s="136">
        <f t="shared" si="4"/>
        <v>18</v>
      </c>
      <c r="K15" s="136" t="s">
        <v>1549</v>
      </c>
      <c r="L15" s="155">
        <v>0.0</v>
      </c>
      <c r="M15" s="204">
        <v>44012.0</v>
      </c>
      <c r="N15" s="137" t="s">
        <v>1531</v>
      </c>
      <c r="O15" s="134" t="s">
        <v>1321</v>
      </c>
      <c r="P15" s="134"/>
    </row>
    <row r="16" ht="15.75" customHeight="1">
      <c r="A16" s="123" t="s">
        <v>27</v>
      </c>
      <c r="B16" s="123" t="s">
        <v>1562</v>
      </c>
      <c r="C16" s="216" t="s">
        <v>1563</v>
      </c>
      <c r="D16" s="125" t="s">
        <v>1564</v>
      </c>
      <c r="E16" s="125" t="s">
        <v>1565</v>
      </c>
      <c r="F16" s="125">
        <v>10.0</v>
      </c>
      <c r="G16" s="125">
        <v>2.0</v>
      </c>
      <c r="H16" s="125">
        <v>3.0</v>
      </c>
      <c r="I16" s="125">
        <f t="shared" si="3"/>
        <v>7</v>
      </c>
      <c r="J16" s="125">
        <f t="shared" si="4"/>
        <v>17</v>
      </c>
      <c r="K16" s="125" t="s">
        <v>1566</v>
      </c>
      <c r="L16" s="139">
        <v>0.0</v>
      </c>
      <c r="M16" s="212">
        <v>43997.0</v>
      </c>
      <c r="N16" s="133" t="s">
        <v>1536</v>
      </c>
      <c r="O16" s="123" t="s">
        <v>1567</v>
      </c>
      <c r="P16" s="123"/>
    </row>
    <row r="17" ht="15.75" customHeight="1">
      <c r="A17" s="134" t="s">
        <v>27</v>
      </c>
      <c r="B17" s="134" t="s">
        <v>1568</v>
      </c>
      <c r="C17" s="162"/>
      <c r="D17" s="136" t="s">
        <v>1569</v>
      </c>
      <c r="E17" s="136" t="s">
        <v>1306</v>
      </c>
      <c r="F17" s="136">
        <v>8.0</v>
      </c>
      <c r="G17" s="136">
        <v>1.0</v>
      </c>
      <c r="H17" s="136">
        <v>2.0</v>
      </c>
      <c r="I17" s="136">
        <f t="shared" si="3"/>
        <v>9</v>
      </c>
      <c r="J17" s="136">
        <f t="shared" si="4"/>
        <v>17</v>
      </c>
      <c r="K17" s="136" t="s">
        <v>1566</v>
      </c>
      <c r="L17" s="155">
        <v>0.0</v>
      </c>
      <c r="M17" s="204">
        <v>44012.0</v>
      </c>
      <c r="N17" s="137" t="s">
        <v>596</v>
      </c>
      <c r="O17" s="134" t="s">
        <v>1307</v>
      </c>
      <c r="P17" s="134"/>
    </row>
    <row r="18" ht="15.75" customHeight="1">
      <c r="A18" s="123" t="s">
        <v>1172</v>
      </c>
      <c r="B18" s="123" t="s">
        <v>1570</v>
      </c>
      <c r="C18" s="158"/>
      <c r="D18" s="125" t="s">
        <v>1571</v>
      </c>
      <c r="E18" s="125" t="s">
        <v>1572</v>
      </c>
      <c r="F18" s="125">
        <v>10.0</v>
      </c>
      <c r="G18" s="125">
        <v>3.0</v>
      </c>
      <c r="H18" s="125">
        <v>2.0</v>
      </c>
      <c r="I18" s="125">
        <f t="shared" si="3"/>
        <v>7</v>
      </c>
      <c r="J18" s="125">
        <f t="shared" si="4"/>
        <v>17</v>
      </c>
      <c r="K18" s="125" t="s">
        <v>1566</v>
      </c>
      <c r="L18" s="139">
        <v>0.0</v>
      </c>
      <c r="M18" s="133" t="s">
        <v>762</v>
      </c>
      <c r="N18" s="133"/>
      <c r="O18" s="123"/>
      <c r="P18" s="123"/>
    </row>
    <row r="19" ht="15.75" customHeight="1">
      <c r="A19" s="134" t="s">
        <v>27</v>
      </c>
      <c r="B19" s="134" t="s">
        <v>1329</v>
      </c>
      <c r="C19" s="217" t="s">
        <v>1330</v>
      </c>
      <c r="D19" s="136" t="s">
        <v>1331</v>
      </c>
      <c r="E19" s="136" t="s">
        <v>1332</v>
      </c>
      <c r="F19" s="136">
        <v>8.0</v>
      </c>
      <c r="G19" s="136">
        <v>1.0</v>
      </c>
      <c r="H19" s="136">
        <v>3.0</v>
      </c>
      <c r="I19" s="136">
        <f t="shared" si="3"/>
        <v>8</v>
      </c>
      <c r="J19" s="136">
        <f t="shared" si="4"/>
        <v>16</v>
      </c>
      <c r="K19" s="136" t="s">
        <v>1573</v>
      </c>
      <c r="L19" s="155">
        <v>0.0</v>
      </c>
      <c r="M19" s="204">
        <v>44012.0</v>
      </c>
      <c r="N19" s="137" t="s">
        <v>21</v>
      </c>
      <c r="O19" s="134"/>
      <c r="P19" s="134"/>
    </row>
    <row r="20" ht="15.75" customHeight="1">
      <c r="A20" s="123" t="s">
        <v>1172</v>
      </c>
      <c r="B20" s="123" t="s">
        <v>1296</v>
      </c>
      <c r="C20" s="158"/>
      <c r="D20" s="125" t="s">
        <v>1574</v>
      </c>
      <c r="E20" s="125" t="s">
        <v>1575</v>
      </c>
      <c r="F20" s="125">
        <v>14.0</v>
      </c>
      <c r="G20" s="125">
        <v>5.0</v>
      </c>
      <c r="H20" s="125">
        <v>5.0</v>
      </c>
      <c r="I20" s="125">
        <f t="shared" si="3"/>
        <v>2</v>
      </c>
      <c r="J20" s="125">
        <f t="shared" si="4"/>
        <v>16</v>
      </c>
      <c r="K20" s="125" t="s">
        <v>1573</v>
      </c>
      <c r="L20" s="139">
        <v>0.0</v>
      </c>
      <c r="M20" s="133" t="s">
        <v>762</v>
      </c>
      <c r="N20" s="133" t="s">
        <v>1576</v>
      </c>
      <c r="O20" s="123" t="s">
        <v>1300</v>
      </c>
      <c r="P20" s="123"/>
    </row>
    <row r="21" ht="15.75" hidden="1" customHeight="1">
      <c r="A21" s="206" t="s">
        <v>1213</v>
      </c>
      <c r="B21" s="206" t="s">
        <v>1213</v>
      </c>
      <c r="C21" s="207"/>
      <c r="D21" s="208" t="s">
        <v>1577</v>
      </c>
      <c r="E21" s="208" t="s">
        <v>1578</v>
      </c>
      <c r="F21" s="208">
        <v>5.0</v>
      </c>
      <c r="G21" s="208">
        <v>0.0</v>
      </c>
      <c r="H21" s="208">
        <v>2.0</v>
      </c>
      <c r="I21" s="208">
        <f t="shared" si="3"/>
        <v>10</v>
      </c>
      <c r="J21" s="208">
        <f t="shared" si="4"/>
        <v>15</v>
      </c>
      <c r="K21" s="208" t="s">
        <v>1573</v>
      </c>
      <c r="L21" s="209">
        <v>1.0</v>
      </c>
      <c r="M21" s="211" t="s">
        <v>762</v>
      </c>
      <c r="N21" s="211" t="s">
        <v>1522</v>
      </c>
      <c r="O21" s="206" t="s">
        <v>1579</v>
      </c>
      <c r="P21" s="206" t="s">
        <v>1512</v>
      </c>
    </row>
    <row r="22" ht="15.75" customHeight="1">
      <c r="A22" s="123"/>
      <c r="B22" s="123"/>
      <c r="C22" s="158"/>
      <c r="D22" s="218" t="s">
        <v>1580</v>
      </c>
      <c r="E22" s="125"/>
      <c r="F22" s="125"/>
      <c r="G22" s="125"/>
      <c r="H22" s="125"/>
      <c r="I22" s="125"/>
      <c r="J22" s="125"/>
      <c r="K22" s="125"/>
      <c r="L22" s="139"/>
      <c r="M22" s="133"/>
      <c r="N22" s="133"/>
      <c r="O22" s="123"/>
      <c r="P22" s="123"/>
    </row>
    <row r="23" ht="15.75" customHeight="1">
      <c r="A23" s="134" t="s">
        <v>596</v>
      </c>
      <c r="B23" s="134" t="s">
        <v>131</v>
      </c>
      <c r="C23" s="162"/>
      <c r="D23" s="136" t="s">
        <v>1544</v>
      </c>
      <c r="E23" s="136"/>
      <c r="F23" s="136">
        <v>12.0</v>
      </c>
      <c r="G23" s="136">
        <v>3.0</v>
      </c>
      <c r="H23" s="136">
        <v>3.0</v>
      </c>
      <c r="I23" s="136">
        <f t="shared" ref="I23:I24" si="5">(6-G23)+(6-H23)</f>
        <v>6</v>
      </c>
      <c r="J23" s="136">
        <f t="shared" ref="J23:J24" si="6">I23+F23</f>
        <v>18</v>
      </c>
      <c r="K23" s="136" t="s">
        <v>1549</v>
      </c>
      <c r="L23" s="155"/>
      <c r="M23" s="137"/>
      <c r="N23" s="137"/>
      <c r="O23" s="134"/>
      <c r="P23" s="134"/>
    </row>
    <row r="24" ht="15.75" customHeight="1">
      <c r="A24" s="123" t="s">
        <v>596</v>
      </c>
      <c r="B24" s="123" t="s">
        <v>1581</v>
      </c>
      <c r="C24" s="158"/>
      <c r="D24" s="125" t="s">
        <v>1544</v>
      </c>
      <c r="E24" s="125"/>
      <c r="F24" s="125">
        <v>12.0</v>
      </c>
      <c r="G24" s="125">
        <v>3.0</v>
      </c>
      <c r="H24" s="125">
        <v>3.0</v>
      </c>
      <c r="I24" s="125">
        <f t="shared" si="5"/>
        <v>6</v>
      </c>
      <c r="J24" s="125">
        <f t="shared" si="6"/>
        <v>18</v>
      </c>
      <c r="K24" s="125" t="s">
        <v>1549</v>
      </c>
      <c r="L24" s="139"/>
      <c r="M24" s="133"/>
      <c r="N24" s="133"/>
      <c r="O24" s="123"/>
      <c r="P24" s="123"/>
    </row>
    <row r="25" ht="15.75" customHeight="1">
      <c r="A25" s="134" t="s">
        <v>676</v>
      </c>
      <c r="B25" s="134" t="s">
        <v>1582</v>
      </c>
      <c r="C25" s="162"/>
      <c r="D25" s="136" t="s">
        <v>1544</v>
      </c>
      <c r="E25" s="136"/>
      <c r="F25" s="136"/>
      <c r="G25" s="136"/>
      <c r="H25" s="136"/>
      <c r="I25" s="136"/>
      <c r="J25" s="136"/>
      <c r="K25" s="136"/>
      <c r="L25" s="155"/>
      <c r="M25" s="137"/>
      <c r="N25" s="137"/>
      <c r="O25" s="136" t="s">
        <v>1338</v>
      </c>
      <c r="P25" s="136"/>
    </row>
    <row r="26" ht="15.75" customHeight="1">
      <c r="A26" s="123"/>
      <c r="B26" s="123"/>
      <c r="C26" s="158"/>
      <c r="D26" s="125"/>
      <c r="E26" s="125"/>
      <c r="F26" s="125"/>
      <c r="G26" s="125"/>
      <c r="H26" s="125"/>
      <c r="I26" s="125"/>
      <c r="J26" s="125"/>
      <c r="K26" s="125"/>
      <c r="L26" s="139"/>
      <c r="M26" s="133"/>
      <c r="N26" s="133"/>
      <c r="O26" s="123"/>
      <c r="P26" s="123"/>
    </row>
    <row r="27" ht="15.75" customHeight="1">
      <c r="A27" s="134"/>
      <c r="B27" s="134"/>
      <c r="C27" s="162"/>
      <c r="D27" s="136"/>
      <c r="E27" s="136"/>
      <c r="F27" s="136"/>
      <c r="G27" s="136"/>
      <c r="H27" s="136"/>
      <c r="I27" s="136"/>
      <c r="J27" s="136"/>
      <c r="K27" s="136"/>
      <c r="L27" s="155"/>
      <c r="M27" s="137"/>
      <c r="N27" s="137"/>
      <c r="O27" s="134"/>
      <c r="P27" s="134"/>
    </row>
    <row r="28" ht="15.75" customHeight="1">
      <c r="A28" s="219"/>
      <c r="B28" s="219"/>
      <c r="C28" s="219"/>
      <c r="D28" s="219"/>
      <c r="E28" s="219"/>
      <c r="F28" s="219"/>
      <c r="G28" s="219"/>
      <c r="H28" s="219"/>
      <c r="I28" s="219"/>
      <c r="J28" s="219"/>
      <c r="K28" s="219"/>
      <c r="L28" s="220"/>
      <c r="M28" s="221"/>
      <c r="N28" s="221"/>
      <c r="O28" s="219"/>
      <c r="P28" s="219"/>
    </row>
    <row r="29" ht="15.75" customHeight="1">
      <c r="A29" s="222"/>
      <c r="B29" s="222"/>
      <c r="C29" s="222"/>
      <c r="D29" s="222"/>
      <c r="E29" s="222"/>
      <c r="F29" s="222"/>
      <c r="G29" s="222"/>
      <c r="H29" s="222"/>
      <c r="I29" s="222"/>
      <c r="J29" s="222"/>
      <c r="K29" s="222"/>
      <c r="L29" s="223"/>
      <c r="M29" s="224"/>
      <c r="N29" s="224"/>
      <c r="O29" s="222"/>
      <c r="P29" s="222"/>
    </row>
    <row r="30" ht="15.75" customHeight="1">
      <c r="A30" s="225" t="s">
        <v>1015</v>
      </c>
      <c r="B30" s="225" t="s">
        <v>1017</v>
      </c>
      <c r="C30" s="225" t="s">
        <v>863</v>
      </c>
      <c r="D30" s="225" t="s">
        <v>1339</v>
      </c>
      <c r="E30" s="225" t="s">
        <v>2</v>
      </c>
      <c r="F30" s="225" t="s">
        <v>1340</v>
      </c>
      <c r="G30" s="225"/>
      <c r="H30" s="225" t="s">
        <v>436</v>
      </c>
      <c r="I30" s="225"/>
      <c r="J30" s="226" t="s">
        <v>445</v>
      </c>
      <c r="K30" s="225"/>
      <c r="L30" s="227"/>
      <c r="M30" s="112"/>
      <c r="N30" s="112"/>
      <c r="O30" s="225"/>
      <c r="P30" s="225"/>
    </row>
    <row r="31" ht="15.75" hidden="1" customHeight="1">
      <c r="A31" s="228" t="s">
        <v>1172</v>
      </c>
      <c r="B31" s="228" t="s">
        <v>1583</v>
      </c>
      <c r="C31" s="208" t="s">
        <v>1342</v>
      </c>
      <c r="D31" s="208" t="s">
        <v>1584</v>
      </c>
      <c r="E31" s="229" t="s">
        <v>1585</v>
      </c>
      <c r="F31" s="230" t="s">
        <v>1586</v>
      </c>
      <c r="G31" s="231"/>
      <c r="H31" s="208" t="s">
        <v>465</v>
      </c>
      <c r="I31" s="208"/>
      <c r="J31" s="232"/>
      <c r="K31" s="208"/>
      <c r="L31" s="233"/>
      <c r="M31" s="208"/>
      <c r="N31" s="208"/>
      <c r="O31" s="228"/>
      <c r="P31" s="228" t="s">
        <v>1512</v>
      </c>
    </row>
    <row r="32" ht="15.75" hidden="1" customHeight="1">
      <c r="A32" s="234" t="s">
        <v>1385</v>
      </c>
      <c r="B32" s="234" t="s">
        <v>1587</v>
      </c>
      <c r="C32" s="200" t="s">
        <v>1342</v>
      </c>
      <c r="D32" s="200" t="s">
        <v>1588</v>
      </c>
      <c r="E32" s="200" t="s">
        <v>1589</v>
      </c>
      <c r="F32" s="235"/>
      <c r="G32" s="235"/>
      <c r="H32" s="200" t="s">
        <v>465</v>
      </c>
      <c r="I32" s="200"/>
      <c r="J32" s="218" t="s">
        <v>1590</v>
      </c>
      <c r="K32" s="200"/>
      <c r="L32" s="236"/>
      <c r="M32" s="200"/>
      <c r="N32" s="200"/>
      <c r="O32" s="234"/>
      <c r="P32" s="234" t="s">
        <v>1512</v>
      </c>
    </row>
    <row r="33" ht="15.75" hidden="1" customHeight="1">
      <c r="A33" s="228" t="s">
        <v>1172</v>
      </c>
      <c r="B33" s="228" t="s">
        <v>1532</v>
      </c>
      <c r="C33" s="208" t="s">
        <v>1342</v>
      </c>
      <c r="D33" s="208" t="s">
        <v>1591</v>
      </c>
      <c r="E33" s="208" t="s">
        <v>1592</v>
      </c>
      <c r="F33" s="231"/>
      <c r="G33" s="231"/>
      <c r="H33" s="208" t="s">
        <v>465</v>
      </c>
      <c r="I33" s="208"/>
      <c r="J33" s="231" t="s">
        <v>1593</v>
      </c>
      <c r="K33" s="208"/>
      <c r="L33" s="233"/>
      <c r="M33" s="208"/>
      <c r="N33" s="208"/>
      <c r="O33" s="228"/>
      <c r="P33" s="228" t="s">
        <v>1512</v>
      </c>
    </row>
    <row r="34" ht="15.75" customHeight="1">
      <c r="A34" s="237" t="s">
        <v>1116</v>
      </c>
      <c r="B34" s="237" t="s">
        <v>1341</v>
      </c>
      <c r="C34" s="125" t="s">
        <v>1342</v>
      </c>
      <c r="D34" s="125" t="s">
        <v>1343</v>
      </c>
      <c r="E34" s="238" t="s">
        <v>1594</v>
      </c>
      <c r="F34" s="218"/>
      <c r="G34" s="218"/>
      <c r="H34" s="125" t="s">
        <v>465</v>
      </c>
      <c r="I34" s="125"/>
      <c r="J34" s="218"/>
      <c r="K34" s="125"/>
      <c r="L34" s="239"/>
      <c r="M34" s="125"/>
      <c r="N34" s="125"/>
      <c r="O34" s="237"/>
      <c r="P34" s="237"/>
    </row>
    <row r="35" ht="15.75" hidden="1" customHeight="1">
      <c r="A35" s="240" t="s">
        <v>1172</v>
      </c>
      <c r="B35" s="240" t="s">
        <v>1595</v>
      </c>
      <c r="C35" s="136" t="s">
        <v>1342</v>
      </c>
      <c r="D35" s="136" t="s">
        <v>1596</v>
      </c>
      <c r="E35" s="241" t="s">
        <v>1597</v>
      </c>
      <c r="F35" s="232"/>
      <c r="G35" s="232"/>
      <c r="H35" s="136" t="s">
        <v>465</v>
      </c>
      <c r="I35" s="136"/>
      <c r="J35" s="232"/>
      <c r="K35" s="136"/>
      <c r="L35" s="242"/>
      <c r="M35" s="136"/>
      <c r="N35" s="136"/>
      <c r="O35" s="240"/>
      <c r="P35" s="240" t="s">
        <v>1512</v>
      </c>
    </row>
    <row r="36" ht="15.75" hidden="1" customHeight="1">
      <c r="A36" s="234" t="s">
        <v>1126</v>
      </c>
      <c r="B36" s="234" t="s">
        <v>1598</v>
      </c>
      <c r="C36" s="200" t="s">
        <v>1342</v>
      </c>
      <c r="D36" s="200" t="s">
        <v>1346</v>
      </c>
      <c r="E36" s="200" t="s">
        <v>1599</v>
      </c>
      <c r="F36" s="235"/>
      <c r="G36" s="235"/>
      <c r="H36" s="200" t="s">
        <v>192</v>
      </c>
      <c r="I36" s="200"/>
      <c r="J36" s="235" t="s">
        <v>1600</v>
      </c>
      <c r="K36" s="200"/>
      <c r="L36" s="236"/>
      <c r="M36" s="200"/>
      <c r="N36" s="200"/>
      <c r="O36" s="234"/>
      <c r="P36" s="234" t="s">
        <v>1512</v>
      </c>
    </row>
    <row r="37" ht="15.75" hidden="1" customHeight="1">
      <c r="A37" s="228" t="s">
        <v>27</v>
      </c>
      <c r="B37" s="228" t="s">
        <v>1601</v>
      </c>
      <c r="C37" s="208" t="s">
        <v>1342</v>
      </c>
      <c r="D37" s="208" t="s">
        <v>1602</v>
      </c>
      <c r="E37" s="229" t="s">
        <v>1603</v>
      </c>
      <c r="F37" s="231"/>
      <c r="G37" s="231"/>
      <c r="H37" s="208" t="s">
        <v>465</v>
      </c>
      <c r="I37" s="208"/>
      <c r="J37" s="231"/>
      <c r="K37" s="208"/>
      <c r="L37" s="233"/>
      <c r="M37" s="208"/>
      <c r="N37" s="208"/>
      <c r="O37" s="228"/>
      <c r="P37" s="228" t="s">
        <v>1512</v>
      </c>
    </row>
    <row r="38" ht="15.75" customHeight="1">
      <c r="A38" s="237" t="s">
        <v>1126</v>
      </c>
      <c r="B38" s="237" t="s">
        <v>1345</v>
      </c>
      <c r="C38" s="125" t="s">
        <v>1342</v>
      </c>
      <c r="D38" s="125" t="s">
        <v>1346</v>
      </c>
      <c r="E38" s="243"/>
      <c r="F38" s="218"/>
      <c r="G38" s="218"/>
      <c r="H38" s="125" t="s">
        <v>1055</v>
      </c>
      <c r="I38" s="125"/>
      <c r="J38" s="218"/>
      <c r="K38" s="125"/>
      <c r="L38" s="239"/>
      <c r="M38" s="125"/>
      <c r="N38" s="125"/>
      <c r="O38" s="237"/>
      <c r="P38" s="237"/>
    </row>
    <row r="39" ht="15.75" customHeight="1">
      <c r="A39" s="240" t="s">
        <v>1172</v>
      </c>
      <c r="B39" s="240" t="s">
        <v>1347</v>
      </c>
      <c r="C39" s="136" t="s">
        <v>1348</v>
      </c>
      <c r="D39" s="136" t="s">
        <v>1349</v>
      </c>
      <c r="E39" s="241" t="s">
        <v>1350</v>
      </c>
      <c r="F39" s="244" t="s">
        <v>1351</v>
      </c>
      <c r="G39" s="244" t="s">
        <v>1352</v>
      </c>
      <c r="H39" s="136" t="s">
        <v>465</v>
      </c>
      <c r="I39" s="136"/>
      <c r="J39" s="232"/>
      <c r="K39" s="136"/>
      <c r="L39" s="242"/>
      <c r="M39" s="136"/>
      <c r="N39" s="136"/>
      <c r="O39" s="240"/>
      <c r="P39" s="240"/>
    </row>
    <row r="40" ht="15.75" customHeight="1">
      <c r="A40" s="237" t="s">
        <v>1353</v>
      </c>
      <c r="B40" s="237" t="s">
        <v>1354</v>
      </c>
      <c r="C40" s="125" t="s">
        <v>1348</v>
      </c>
      <c r="D40" s="125" t="s">
        <v>1355</v>
      </c>
      <c r="E40" s="241" t="s">
        <v>1356</v>
      </c>
      <c r="F40" s="218"/>
      <c r="G40" s="218"/>
      <c r="H40" s="125" t="s">
        <v>465</v>
      </c>
      <c r="I40" s="125"/>
      <c r="J40" s="245" t="s">
        <v>1357</v>
      </c>
      <c r="K40" s="125"/>
      <c r="L40" s="239"/>
      <c r="M40" s="125"/>
      <c r="N40" s="125"/>
      <c r="O40" s="237"/>
      <c r="P40" s="237"/>
    </row>
    <row r="41" ht="15.75" hidden="1" customHeight="1">
      <c r="A41" s="240" t="s">
        <v>1385</v>
      </c>
      <c r="B41" s="240" t="s">
        <v>1604</v>
      </c>
      <c r="C41" s="136" t="s">
        <v>1348</v>
      </c>
      <c r="D41" s="136" t="s">
        <v>1605</v>
      </c>
      <c r="E41" s="136" t="s">
        <v>1606</v>
      </c>
      <c r="F41" s="232"/>
      <c r="G41" s="232"/>
      <c r="H41" s="136"/>
      <c r="I41" s="136"/>
      <c r="J41" s="232" t="s">
        <v>1607</v>
      </c>
      <c r="K41" s="136"/>
      <c r="L41" s="242"/>
      <c r="M41" s="136"/>
      <c r="N41" s="136"/>
      <c r="O41" s="240"/>
      <c r="P41" s="240" t="s">
        <v>1512</v>
      </c>
    </row>
    <row r="42" ht="15.75" hidden="1" customHeight="1">
      <c r="A42" s="234" t="s">
        <v>1608</v>
      </c>
      <c r="B42" s="234" t="s">
        <v>1609</v>
      </c>
      <c r="C42" s="200" t="s">
        <v>1348</v>
      </c>
      <c r="D42" s="200" t="s">
        <v>1610</v>
      </c>
      <c r="E42" s="200" t="s">
        <v>1611</v>
      </c>
      <c r="F42" s="235"/>
      <c r="G42" s="235"/>
      <c r="H42" s="200"/>
      <c r="I42" s="200"/>
      <c r="J42" s="235" t="s">
        <v>1612</v>
      </c>
      <c r="K42" s="200"/>
      <c r="L42" s="236"/>
      <c r="M42" s="200"/>
      <c r="N42" s="200"/>
      <c r="O42" s="234"/>
      <c r="P42" s="234" t="s">
        <v>1512</v>
      </c>
    </row>
    <row r="43" ht="15.75" customHeight="1">
      <c r="A43" s="240" t="s">
        <v>596</v>
      </c>
      <c r="B43" s="240" t="s">
        <v>1358</v>
      </c>
      <c r="C43" s="136" t="s">
        <v>1348</v>
      </c>
      <c r="D43" s="136" t="s">
        <v>1359</v>
      </c>
      <c r="E43" s="241" t="s">
        <v>1360</v>
      </c>
      <c r="F43" s="244" t="s">
        <v>1361</v>
      </c>
      <c r="G43" s="232"/>
      <c r="H43" s="136" t="s">
        <v>1362</v>
      </c>
      <c r="I43" s="136"/>
      <c r="J43" s="232"/>
      <c r="K43" s="136"/>
      <c r="L43" s="242"/>
      <c r="M43" s="136"/>
      <c r="N43" s="136"/>
      <c r="O43" s="240"/>
      <c r="P43" s="240"/>
    </row>
    <row r="44" ht="15.75" hidden="1" customHeight="1">
      <c r="A44" s="234" t="s">
        <v>596</v>
      </c>
      <c r="B44" s="234" t="s">
        <v>129</v>
      </c>
      <c r="C44" s="200" t="s">
        <v>1348</v>
      </c>
      <c r="D44" s="200" t="s">
        <v>1359</v>
      </c>
      <c r="E44" s="246" t="s">
        <v>1613</v>
      </c>
      <c r="F44" s="235"/>
      <c r="G44" s="235"/>
      <c r="H44" s="200" t="s">
        <v>21</v>
      </c>
      <c r="I44" s="200"/>
      <c r="J44" s="235"/>
      <c r="K44" s="200"/>
      <c r="L44" s="236"/>
      <c r="M44" s="200"/>
      <c r="N44" s="200"/>
      <c r="O44" s="234"/>
      <c r="P44" s="234" t="s">
        <v>1512</v>
      </c>
    </row>
    <row r="45" ht="15.75" hidden="1" customHeight="1">
      <c r="A45" s="228" t="s">
        <v>1614</v>
      </c>
      <c r="B45" s="228" t="s">
        <v>1615</v>
      </c>
      <c r="C45" s="208" t="s">
        <v>1348</v>
      </c>
      <c r="D45" s="208" t="s">
        <v>1355</v>
      </c>
      <c r="E45" s="229" t="s">
        <v>1616</v>
      </c>
      <c r="F45" s="231"/>
      <c r="G45" s="231"/>
      <c r="H45" s="208" t="s">
        <v>465</v>
      </c>
      <c r="I45" s="208"/>
      <c r="J45" s="231" t="s">
        <v>1617</v>
      </c>
      <c r="K45" s="208"/>
      <c r="L45" s="233"/>
      <c r="M45" s="208"/>
      <c r="N45" s="208"/>
      <c r="O45" s="228"/>
      <c r="P45" s="228" t="s">
        <v>1512</v>
      </c>
    </row>
    <row r="46" ht="15.75" hidden="1" customHeight="1">
      <c r="A46" s="234" t="s">
        <v>1325</v>
      </c>
      <c r="B46" s="234" t="s">
        <v>1618</v>
      </c>
      <c r="C46" s="200" t="s">
        <v>1348</v>
      </c>
      <c r="D46" s="200" t="s">
        <v>1380</v>
      </c>
      <c r="E46" s="246" t="s">
        <v>1619</v>
      </c>
      <c r="F46" s="235"/>
      <c r="G46" s="235"/>
      <c r="H46" s="200" t="s">
        <v>21</v>
      </c>
      <c r="I46" s="200"/>
      <c r="J46" s="235"/>
      <c r="K46" s="200"/>
      <c r="L46" s="236"/>
      <c r="M46" s="200"/>
      <c r="N46" s="200"/>
      <c r="O46" s="234"/>
      <c r="P46" s="234" t="s">
        <v>1512</v>
      </c>
    </row>
    <row r="47" ht="15.75" hidden="1" customHeight="1">
      <c r="A47" s="228" t="s">
        <v>1385</v>
      </c>
      <c r="B47" s="228" t="s">
        <v>1620</v>
      </c>
      <c r="C47" s="208" t="s">
        <v>1364</v>
      </c>
      <c r="D47" s="208" t="s">
        <v>1386</v>
      </c>
      <c r="E47" s="229" t="s">
        <v>1621</v>
      </c>
      <c r="F47" s="231"/>
      <c r="G47" s="231"/>
      <c r="H47" s="208" t="s">
        <v>21</v>
      </c>
      <c r="I47" s="208"/>
      <c r="J47" s="231" t="s">
        <v>1622</v>
      </c>
      <c r="K47" s="208"/>
      <c r="L47" s="233"/>
      <c r="M47" s="208"/>
      <c r="N47" s="208"/>
      <c r="O47" s="228"/>
      <c r="P47" s="228" t="s">
        <v>1512</v>
      </c>
    </row>
    <row r="48" ht="15.75" customHeight="1">
      <c r="A48" s="237" t="s">
        <v>1172</v>
      </c>
      <c r="B48" s="237" t="s">
        <v>1363</v>
      </c>
      <c r="C48" s="125" t="s">
        <v>1364</v>
      </c>
      <c r="D48" s="125" t="s">
        <v>1365</v>
      </c>
      <c r="E48" s="243" t="s">
        <v>1366</v>
      </c>
      <c r="F48" s="247" t="s">
        <v>1367</v>
      </c>
      <c r="G48" s="247" t="s">
        <v>1368</v>
      </c>
      <c r="H48" s="125" t="s">
        <v>21</v>
      </c>
      <c r="I48" s="125"/>
      <c r="J48" s="218" t="s">
        <v>1369</v>
      </c>
      <c r="K48" s="125"/>
      <c r="L48" s="239"/>
      <c r="M48" s="125"/>
      <c r="N48" s="125"/>
      <c r="O48" s="237"/>
      <c r="P48" s="237"/>
    </row>
    <row r="49" ht="15.75" customHeight="1">
      <c r="A49" s="240" t="s">
        <v>1370</v>
      </c>
      <c r="B49" s="240" t="s">
        <v>1371</v>
      </c>
      <c r="C49" s="136" t="s">
        <v>1364</v>
      </c>
      <c r="D49" s="136" t="s">
        <v>1372</v>
      </c>
      <c r="E49" s="241" t="s">
        <v>1373</v>
      </c>
      <c r="F49" s="244" t="s">
        <v>1374</v>
      </c>
      <c r="G49" s="232"/>
      <c r="H49" s="136" t="s">
        <v>465</v>
      </c>
      <c r="I49" s="136"/>
      <c r="J49" s="232"/>
      <c r="K49" s="136"/>
      <c r="L49" s="242"/>
      <c r="M49" s="136"/>
      <c r="N49" s="136"/>
      <c r="O49" s="240"/>
      <c r="P49" s="240"/>
    </row>
    <row r="50" ht="15.75" customHeight="1">
      <c r="A50" s="237" t="s">
        <v>1325</v>
      </c>
      <c r="B50" s="237" t="s">
        <v>1375</v>
      </c>
      <c r="C50" s="125" t="s">
        <v>1364</v>
      </c>
      <c r="D50" s="125" t="s">
        <v>1376</v>
      </c>
      <c r="E50" s="243" t="s">
        <v>1377</v>
      </c>
      <c r="F50" s="218"/>
      <c r="G50" s="218"/>
      <c r="H50" s="125" t="s">
        <v>465</v>
      </c>
      <c r="I50" s="125"/>
      <c r="J50" s="218"/>
      <c r="K50" s="125"/>
      <c r="L50" s="239"/>
      <c r="M50" s="125"/>
      <c r="N50" s="125"/>
      <c r="O50" s="237"/>
      <c r="P50" s="237"/>
    </row>
    <row r="51" ht="15.75" customHeight="1">
      <c r="A51" s="240" t="s">
        <v>1172</v>
      </c>
      <c r="B51" s="240" t="s">
        <v>1378</v>
      </c>
      <c r="C51" s="136" t="s">
        <v>1379</v>
      </c>
      <c r="D51" s="136" t="s">
        <v>1380</v>
      </c>
      <c r="E51" s="241" t="s">
        <v>1381</v>
      </c>
      <c r="F51" s="232"/>
      <c r="G51" s="232"/>
      <c r="H51" s="136" t="s">
        <v>21</v>
      </c>
      <c r="I51" s="136"/>
      <c r="J51" s="232"/>
      <c r="K51" s="136"/>
      <c r="L51" s="242"/>
      <c r="M51" s="136"/>
      <c r="N51" s="136"/>
      <c r="O51" s="240"/>
      <c r="P51" s="240"/>
    </row>
    <row r="52" ht="15.75" customHeight="1">
      <c r="A52" s="237" t="s">
        <v>1325</v>
      </c>
      <c r="B52" s="237" t="s">
        <v>1382</v>
      </c>
      <c r="C52" s="125" t="s">
        <v>1379</v>
      </c>
      <c r="D52" s="125" t="s">
        <v>1383</v>
      </c>
      <c r="E52" s="243" t="s">
        <v>1384</v>
      </c>
      <c r="F52" s="218"/>
      <c r="G52" s="218"/>
      <c r="H52" s="125" t="s">
        <v>192</v>
      </c>
      <c r="I52" s="125"/>
      <c r="J52" s="218"/>
      <c r="K52" s="125"/>
      <c r="L52" s="239"/>
      <c r="M52" s="125"/>
      <c r="N52" s="125"/>
      <c r="O52" s="237"/>
      <c r="P52" s="237"/>
    </row>
    <row r="53" ht="15.75" customHeight="1">
      <c r="A53" s="240" t="s">
        <v>1385</v>
      </c>
      <c r="B53" s="240" t="s">
        <v>357</v>
      </c>
      <c r="C53" s="136" t="s">
        <v>1379</v>
      </c>
      <c r="D53" s="136" t="s">
        <v>1386</v>
      </c>
      <c r="E53" s="243" t="s">
        <v>1387</v>
      </c>
      <c r="F53" s="232"/>
      <c r="G53" s="232"/>
      <c r="H53" s="136" t="s">
        <v>465</v>
      </c>
      <c r="I53" s="136"/>
      <c r="J53" s="232"/>
      <c r="K53" s="136"/>
      <c r="L53" s="242"/>
      <c r="M53" s="136"/>
      <c r="N53" s="136"/>
      <c r="O53" s="240"/>
      <c r="P53" s="240"/>
    </row>
    <row r="54" ht="15.75" customHeight="1">
      <c r="A54" s="237" t="s">
        <v>1325</v>
      </c>
      <c r="B54" s="237" t="s">
        <v>1388</v>
      </c>
      <c r="C54" s="125" t="s">
        <v>1389</v>
      </c>
      <c r="D54" s="125" t="s">
        <v>1390</v>
      </c>
      <c r="E54" s="241" t="s">
        <v>1391</v>
      </c>
      <c r="F54" s="218"/>
      <c r="G54" s="218"/>
      <c r="H54" s="125" t="s">
        <v>465</v>
      </c>
      <c r="I54" s="125"/>
      <c r="J54" s="218"/>
      <c r="K54" s="125"/>
      <c r="L54" s="239"/>
      <c r="M54" s="125"/>
      <c r="N54" s="125"/>
      <c r="O54" s="237"/>
      <c r="P54" s="237"/>
    </row>
    <row r="55" ht="15.75" customHeight="1">
      <c r="A55" s="240" t="s">
        <v>596</v>
      </c>
      <c r="B55" s="240" t="s">
        <v>1392</v>
      </c>
      <c r="C55" s="136" t="s">
        <v>1389</v>
      </c>
      <c r="D55" s="136" t="s">
        <v>1393</v>
      </c>
      <c r="E55" s="136" t="s">
        <v>1393</v>
      </c>
      <c r="F55" s="232"/>
      <c r="G55" s="232"/>
      <c r="H55" s="136" t="s">
        <v>21</v>
      </c>
      <c r="I55" s="136"/>
      <c r="J55" s="232"/>
      <c r="K55" s="136"/>
      <c r="L55" s="242"/>
      <c r="M55" s="136"/>
      <c r="N55" s="136"/>
      <c r="O55" s="240"/>
      <c r="P55" s="240"/>
    </row>
    <row r="56" ht="15.0" hidden="1" customHeight="1">
      <c r="A56" s="234" t="s">
        <v>1172</v>
      </c>
      <c r="B56" s="234" t="s">
        <v>1538</v>
      </c>
      <c r="C56" s="200" t="s">
        <v>119</v>
      </c>
      <c r="D56" s="200" t="s">
        <v>1623</v>
      </c>
      <c r="E56" s="200" t="s">
        <v>1624</v>
      </c>
      <c r="F56" s="235"/>
      <c r="G56" s="235"/>
      <c r="H56" s="200" t="s">
        <v>465</v>
      </c>
      <c r="I56" s="200"/>
      <c r="J56" s="235"/>
      <c r="K56" s="200"/>
      <c r="L56" s="236"/>
      <c r="M56" s="200"/>
      <c r="N56" s="200"/>
      <c r="O56" s="234"/>
      <c r="P56" s="234" t="s">
        <v>1512</v>
      </c>
    </row>
    <row r="57" ht="15.75" customHeight="1">
      <c r="A57" s="222"/>
      <c r="B57" s="222"/>
      <c r="C57" s="222"/>
      <c r="D57" s="222"/>
      <c r="E57" s="222"/>
      <c r="F57" s="222"/>
      <c r="G57" s="222"/>
      <c r="H57" s="222"/>
      <c r="I57" s="222"/>
      <c r="J57" s="222"/>
      <c r="K57" s="222"/>
      <c r="L57" s="223"/>
      <c r="M57" s="224"/>
      <c r="N57" s="224"/>
      <c r="O57" s="222"/>
      <c r="P57" s="222"/>
    </row>
    <row r="58" ht="15.75" customHeight="1">
      <c r="A58" s="219"/>
      <c r="B58" s="219"/>
      <c r="C58" s="219"/>
      <c r="D58" s="219"/>
      <c r="E58" s="219"/>
      <c r="F58" s="219"/>
      <c r="G58" s="219"/>
      <c r="H58" s="219"/>
      <c r="I58" s="219"/>
      <c r="J58" s="219"/>
      <c r="K58" s="219"/>
      <c r="L58" s="220"/>
      <c r="M58" s="221"/>
      <c r="N58" s="221"/>
      <c r="O58" s="219"/>
      <c r="P58" s="219"/>
    </row>
    <row r="59" ht="15.75" customHeight="1">
      <c r="A59" s="222"/>
      <c r="B59" s="222"/>
      <c r="C59" s="222"/>
      <c r="D59" s="222"/>
      <c r="E59" s="222"/>
      <c r="F59" s="222"/>
      <c r="G59" s="222"/>
      <c r="H59" s="222"/>
      <c r="I59" s="222"/>
      <c r="J59" s="222"/>
      <c r="K59" s="222"/>
      <c r="L59" s="223"/>
      <c r="M59" s="224"/>
      <c r="N59" s="224"/>
      <c r="O59" s="222"/>
      <c r="P59" s="222"/>
    </row>
    <row r="60" ht="15.75" customHeight="1">
      <c r="A60" s="219"/>
      <c r="B60" s="219"/>
      <c r="C60" s="219"/>
      <c r="D60" s="219"/>
      <c r="E60" s="219"/>
      <c r="F60" s="219"/>
      <c r="G60" s="219"/>
      <c r="H60" s="219"/>
      <c r="I60" s="219"/>
      <c r="J60" s="219"/>
      <c r="K60" s="219"/>
      <c r="L60" s="220"/>
      <c r="M60" s="221"/>
      <c r="N60" s="221"/>
      <c r="O60" s="219"/>
      <c r="P60" s="219"/>
    </row>
    <row r="61" ht="15.75" customHeight="1">
      <c r="A61" s="222"/>
      <c r="B61" s="222"/>
      <c r="C61" s="222"/>
      <c r="D61" s="222"/>
      <c r="E61" s="222"/>
      <c r="F61" s="222"/>
      <c r="G61" s="222"/>
      <c r="H61" s="222"/>
      <c r="I61" s="222"/>
      <c r="J61" s="222"/>
      <c r="K61" s="222"/>
      <c r="L61" s="223"/>
      <c r="M61" s="224"/>
      <c r="N61" s="224"/>
      <c r="O61" s="222"/>
      <c r="P61" s="222"/>
    </row>
    <row r="62" ht="15.75" customHeight="1">
      <c r="A62" s="219"/>
      <c r="B62" s="219"/>
      <c r="C62" s="219"/>
      <c r="D62" s="219"/>
      <c r="E62" s="219"/>
      <c r="F62" s="219"/>
      <c r="G62" s="219"/>
      <c r="H62" s="219"/>
      <c r="I62" s="219"/>
      <c r="J62" s="219"/>
      <c r="K62" s="219"/>
      <c r="L62" s="220"/>
      <c r="M62" s="221"/>
      <c r="N62" s="221"/>
      <c r="O62" s="219"/>
      <c r="P62" s="219"/>
    </row>
    <row r="63" ht="15.75" customHeight="1">
      <c r="A63" s="222"/>
      <c r="B63" s="222"/>
      <c r="C63" s="222"/>
      <c r="D63" s="222"/>
      <c r="E63" s="222"/>
      <c r="F63" s="222"/>
      <c r="G63" s="222"/>
      <c r="H63" s="222"/>
      <c r="I63" s="222"/>
      <c r="J63" s="222"/>
      <c r="K63" s="222"/>
      <c r="L63" s="223"/>
      <c r="M63" s="224"/>
      <c r="N63" s="224"/>
      <c r="O63" s="222"/>
      <c r="P63" s="222"/>
    </row>
    <row r="64" ht="15.75" customHeight="1">
      <c r="A64" s="219"/>
      <c r="B64" s="219"/>
      <c r="C64" s="219"/>
      <c r="D64" s="219"/>
      <c r="E64" s="219"/>
      <c r="F64" s="219"/>
      <c r="G64" s="219"/>
      <c r="H64" s="219"/>
      <c r="I64" s="219"/>
      <c r="J64" s="219"/>
      <c r="K64" s="219"/>
      <c r="L64" s="220"/>
      <c r="M64" s="221"/>
      <c r="N64" s="221"/>
      <c r="O64" s="219"/>
      <c r="P64" s="219"/>
    </row>
    <row r="65" ht="15.75" customHeight="1">
      <c r="A65" s="222"/>
      <c r="B65" s="222"/>
      <c r="C65" s="222"/>
      <c r="D65" s="222"/>
      <c r="E65" s="222"/>
      <c r="F65" s="222"/>
      <c r="G65" s="222"/>
      <c r="H65" s="222"/>
      <c r="I65" s="222"/>
      <c r="J65" s="222"/>
      <c r="K65" s="222"/>
      <c r="L65" s="223"/>
      <c r="M65" s="224"/>
      <c r="N65" s="224"/>
      <c r="O65" s="222"/>
      <c r="P65" s="222"/>
    </row>
    <row r="66" ht="15.75" customHeight="1">
      <c r="A66" s="219"/>
      <c r="B66" s="219"/>
      <c r="C66" s="219"/>
      <c r="D66" s="219"/>
      <c r="E66" s="219"/>
      <c r="F66" s="219"/>
      <c r="G66" s="219"/>
      <c r="H66" s="219"/>
      <c r="I66" s="219"/>
      <c r="J66" s="219"/>
      <c r="K66" s="219"/>
      <c r="L66" s="220"/>
      <c r="M66" s="221"/>
      <c r="N66" s="221"/>
      <c r="O66" s="219"/>
      <c r="P66" s="219"/>
    </row>
    <row r="67" ht="15.75" customHeight="1">
      <c r="A67" s="222"/>
      <c r="B67" s="222"/>
      <c r="C67" s="222"/>
      <c r="D67" s="222"/>
      <c r="E67" s="222"/>
      <c r="F67" s="222"/>
      <c r="G67" s="222"/>
      <c r="H67" s="222"/>
      <c r="I67" s="222"/>
      <c r="J67" s="222"/>
      <c r="K67" s="222"/>
      <c r="L67" s="223"/>
      <c r="M67" s="224"/>
      <c r="N67" s="224"/>
      <c r="O67" s="222"/>
      <c r="P67" s="222"/>
    </row>
    <row r="68" ht="15.75" customHeight="1">
      <c r="A68" s="219"/>
      <c r="B68" s="219"/>
      <c r="C68" s="219"/>
      <c r="D68" s="219"/>
      <c r="E68" s="219"/>
      <c r="F68" s="219"/>
      <c r="G68" s="219"/>
      <c r="H68" s="219"/>
      <c r="I68" s="219"/>
      <c r="J68" s="219"/>
      <c r="K68" s="219"/>
      <c r="L68" s="220"/>
      <c r="M68" s="221"/>
      <c r="N68" s="221"/>
      <c r="O68" s="219"/>
      <c r="P68" s="219"/>
    </row>
    <row r="69" ht="15.75" customHeight="1">
      <c r="A69" s="222"/>
      <c r="B69" s="222"/>
      <c r="C69" s="222"/>
      <c r="D69" s="222"/>
      <c r="E69" s="222"/>
      <c r="F69" s="222"/>
      <c r="G69" s="222"/>
      <c r="H69" s="222"/>
      <c r="I69" s="222"/>
      <c r="J69" s="222"/>
      <c r="K69" s="222"/>
      <c r="L69" s="223"/>
      <c r="M69" s="224"/>
      <c r="N69" s="224"/>
      <c r="O69" s="222"/>
      <c r="P69" s="222"/>
    </row>
    <row r="70" ht="15.75" customHeight="1">
      <c r="A70" s="219"/>
      <c r="B70" s="219"/>
      <c r="C70" s="219"/>
      <c r="D70" s="219"/>
      <c r="E70" s="219"/>
      <c r="F70" s="219"/>
      <c r="G70" s="219"/>
      <c r="H70" s="219"/>
      <c r="I70" s="219"/>
      <c r="J70" s="219"/>
      <c r="K70" s="219"/>
      <c r="L70" s="220"/>
      <c r="M70" s="221"/>
      <c r="N70" s="221"/>
      <c r="O70" s="219"/>
      <c r="P70" s="219"/>
    </row>
    <row r="71" ht="15.75" customHeight="1">
      <c r="A71" s="222"/>
      <c r="B71" s="222"/>
      <c r="C71" s="222"/>
      <c r="D71" s="222"/>
      <c r="E71" s="222"/>
      <c r="F71" s="222"/>
      <c r="G71" s="222"/>
      <c r="H71" s="222"/>
      <c r="I71" s="222"/>
      <c r="J71" s="222"/>
      <c r="K71" s="222"/>
      <c r="L71" s="223"/>
      <c r="M71" s="224"/>
      <c r="N71" s="224"/>
      <c r="O71" s="222"/>
      <c r="P71" s="222"/>
    </row>
    <row r="72" ht="15.75" customHeight="1">
      <c r="A72" s="219"/>
      <c r="B72" s="219"/>
      <c r="C72" s="219"/>
      <c r="D72" s="219"/>
      <c r="E72" s="219"/>
      <c r="F72" s="219"/>
      <c r="G72" s="219"/>
      <c r="H72" s="219"/>
      <c r="I72" s="219"/>
      <c r="J72" s="219"/>
      <c r="K72" s="219"/>
      <c r="L72" s="220"/>
      <c r="M72" s="221"/>
      <c r="N72" s="221"/>
      <c r="O72" s="219"/>
      <c r="P72" s="219"/>
    </row>
    <row r="73" ht="15.75" customHeight="1">
      <c r="A73" s="222"/>
      <c r="B73" s="222"/>
      <c r="C73" s="222"/>
      <c r="D73" s="222"/>
      <c r="E73" s="222"/>
      <c r="F73" s="222"/>
      <c r="G73" s="222"/>
      <c r="H73" s="222"/>
      <c r="I73" s="222"/>
      <c r="J73" s="222"/>
      <c r="K73" s="222"/>
      <c r="L73" s="223"/>
      <c r="M73" s="224"/>
      <c r="N73" s="224"/>
      <c r="O73" s="222"/>
      <c r="P73" s="222"/>
    </row>
    <row r="74" ht="15.75" customHeight="1">
      <c r="A74" s="219"/>
      <c r="B74" s="219"/>
      <c r="C74" s="219"/>
      <c r="D74" s="219"/>
      <c r="E74" s="219"/>
      <c r="F74" s="219"/>
      <c r="G74" s="219"/>
      <c r="H74" s="219"/>
      <c r="I74" s="219"/>
      <c r="J74" s="219"/>
      <c r="K74" s="219"/>
      <c r="L74" s="220"/>
      <c r="M74" s="221"/>
      <c r="N74" s="221"/>
      <c r="O74" s="219"/>
      <c r="P74" s="219"/>
    </row>
    <row r="75" ht="15.75" customHeight="1">
      <c r="A75" s="222"/>
      <c r="B75" s="222"/>
      <c r="C75" s="222"/>
      <c r="D75" s="222"/>
      <c r="E75" s="222"/>
      <c r="F75" s="222"/>
      <c r="G75" s="222"/>
      <c r="H75" s="222"/>
      <c r="I75" s="222"/>
      <c r="J75" s="222"/>
      <c r="K75" s="222"/>
      <c r="L75" s="223"/>
      <c r="M75" s="224"/>
      <c r="N75" s="224"/>
      <c r="O75" s="222"/>
      <c r="P75" s="222"/>
    </row>
    <row r="76" ht="15.75" customHeight="1">
      <c r="A76" s="219"/>
      <c r="B76" s="219"/>
      <c r="C76" s="219"/>
      <c r="D76" s="219"/>
      <c r="E76" s="219"/>
      <c r="F76" s="219"/>
      <c r="G76" s="219"/>
      <c r="H76" s="219"/>
      <c r="I76" s="219"/>
      <c r="J76" s="219"/>
      <c r="K76" s="219"/>
      <c r="L76" s="220"/>
      <c r="M76" s="221"/>
      <c r="N76" s="221"/>
      <c r="O76" s="219"/>
      <c r="P76" s="219"/>
    </row>
    <row r="77" ht="15.75" customHeight="1">
      <c r="A77" s="222"/>
      <c r="B77" s="222"/>
      <c r="C77" s="222"/>
      <c r="D77" s="222"/>
      <c r="E77" s="222"/>
      <c r="F77" s="222"/>
      <c r="G77" s="222"/>
      <c r="H77" s="222"/>
      <c r="I77" s="222"/>
      <c r="J77" s="222"/>
      <c r="K77" s="222"/>
      <c r="L77" s="223"/>
      <c r="M77" s="224"/>
      <c r="N77" s="224"/>
      <c r="O77" s="222"/>
      <c r="P77" s="222"/>
    </row>
    <row r="78" ht="15.75" customHeight="1">
      <c r="A78" s="219"/>
      <c r="B78" s="219"/>
      <c r="C78" s="219"/>
      <c r="D78" s="219"/>
      <c r="E78" s="219"/>
      <c r="F78" s="219"/>
      <c r="G78" s="219"/>
      <c r="H78" s="219"/>
      <c r="I78" s="219"/>
      <c r="J78" s="219"/>
      <c r="K78" s="219"/>
      <c r="L78" s="220"/>
      <c r="M78" s="221"/>
      <c r="N78" s="221"/>
      <c r="O78" s="219"/>
      <c r="P78" s="219"/>
    </row>
    <row r="79" ht="15.75" customHeight="1">
      <c r="A79" s="222"/>
      <c r="B79" s="222"/>
      <c r="C79" s="222"/>
      <c r="D79" s="222"/>
      <c r="E79" s="222"/>
      <c r="F79" s="222"/>
      <c r="G79" s="222"/>
      <c r="H79" s="222"/>
      <c r="I79" s="222"/>
      <c r="J79" s="222"/>
      <c r="K79" s="222"/>
      <c r="L79" s="223"/>
      <c r="M79" s="224"/>
      <c r="N79" s="224"/>
      <c r="O79" s="222"/>
      <c r="P79" s="222"/>
    </row>
    <row r="80" ht="15.75" customHeight="1">
      <c r="A80" s="219"/>
      <c r="B80" s="219"/>
      <c r="C80" s="219"/>
      <c r="D80" s="219"/>
      <c r="E80" s="219"/>
      <c r="F80" s="219"/>
      <c r="G80" s="219"/>
      <c r="H80" s="219"/>
      <c r="I80" s="219"/>
      <c r="J80" s="219"/>
      <c r="K80" s="219"/>
      <c r="L80" s="220"/>
      <c r="M80" s="221"/>
      <c r="N80" s="221"/>
      <c r="O80" s="219"/>
      <c r="P80" s="219"/>
    </row>
    <row r="81" ht="15.75" customHeight="1">
      <c r="A81" s="222"/>
      <c r="B81" s="222"/>
      <c r="C81" s="222"/>
      <c r="D81" s="222"/>
      <c r="E81" s="222"/>
      <c r="F81" s="222"/>
      <c r="G81" s="222"/>
      <c r="H81" s="222"/>
      <c r="I81" s="222"/>
      <c r="J81" s="222"/>
      <c r="K81" s="222"/>
      <c r="L81" s="223"/>
      <c r="M81" s="224"/>
      <c r="N81" s="224"/>
      <c r="O81" s="222"/>
      <c r="P81" s="222"/>
    </row>
    <row r="82" ht="15.75" customHeight="1">
      <c r="A82" s="219"/>
      <c r="B82" s="219"/>
      <c r="C82" s="219"/>
      <c r="D82" s="219"/>
      <c r="E82" s="219"/>
      <c r="F82" s="219"/>
      <c r="G82" s="219"/>
      <c r="H82" s="219"/>
      <c r="I82" s="219"/>
      <c r="J82" s="219"/>
      <c r="K82" s="219"/>
      <c r="L82" s="220"/>
      <c r="M82" s="221"/>
      <c r="N82" s="221"/>
      <c r="O82" s="219"/>
      <c r="P82" s="219"/>
    </row>
    <row r="83" ht="15.75" customHeight="1">
      <c r="A83" s="222"/>
      <c r="B83" s="222"/>
      <c r="C83" s="222"/>
      <c r="D83" s="222"/>
      <c r="E83" s="222"/>
      <c r="F83" s="222"/>
      <c r="G83" s="222"/>
      <c r="H83" s="222"/>
      <c r="I83" s="222"/>
      <c r="J83" s="222"/>
      <c r="K83" s="222"/>
      <c r="L83" s="223"/>
      <c r="M83" s="224"/>
      <c r="N83" s="224"/>
      <c r="O83" s="222"/>
      <c r="P83" s="222"/>
    </row>
    <row r="84" ht="15.75" customHeight="1">
      <c r="A84" s="219"/>
      <c r="B84" s="219"/>
      <c r="C84" s="219"/>
      <c r="D84" s="219"/>
      <c r="E84" s="219"/>
      <c r="F84" s="219"/>
      <c r="G84" s="219"/>
      <c r="H84" s="219"/>
      <c r="I84" s="219"/>
      <c r="J84" s="219"/>
      <c r="K84" s="219"/>
      <c r="L84" s="220"/>
      <c r="M84" s="221"/>
      <c r="N84" s="221"/>
      <c r="O84" s="219"/>
      <c r="P84" s="219"/>
    </row>
    <row r="85" ht="15.75" customHeight="1">
      <c r="A85" s="222"/>
      <c r="B85" s="222"/>
      <c r="C85" s="222"/>
      <c r="D85" s="222"/>
      <c r="E85" s="222"/>
      <c r="F85" s="222"/>
      <c r="G85" s="222"/>
      <c r="H85" s="222"/>
      <c r="I85" s="222"/>
      <c r="J85" s="222"/>
      <c r="K85" s="222"/>
      <c r="L85" s="223"/>
      <c r="M85" s="224"/>
      <c r="N85" s="224"/>
      <c r="O85" s="222"/>
      <c r="P85" s="222"/>
    </row>
    <row r="86" ht="15.75" customHeight="1">
      <c r="A86" s="219"/>
      <c r="B86" s="219"/>
      <c r="C86" s="219"/>
      <c r="D86" s="219"/>
      <c r="E86" s="219"/>
      <c r="F86" s="219"/>
      <c r="G86" s="219"/>
      <c r="H86" s="219"/>
      <c r="I86" s="219"/>
      <c r="J86" s="219"/>
      <c r="K86" s="219"/>
      <c r="L86" s="220"/>
      <c r="M86" s="221"/>
      <c r="N86" s="221"/>
      <c r="O86" s="219"/>
      <c r="P86" s="219"/>
    </row>
    <row r="87" ht="15.75" customHeight="1">
      <c r="A87" s="222"/>
      <c r="B87" s="222"/>
      <c r="C87" s="222"/>
      <c r="D87" s="222"/>
      <c r="E87" s="222"/>
      <c r="F87" s="222"/>
      <c r="G87" s="222"/>
      <c r="H87" s="222"/>
      <c r="I87" s="222"/>
      <c r="J87" s="222"/>
      <c r="K87" s="222"/>
      <c r="L87" s="223"/>
      <c r="M87" s="224"/>
      <c r="N87" s="224"/>
      <c r="O87" s="222"/>
      <c r="P87" s="222"/>
    </row>
    <row r="88" ht="15.75" customHeight="1">
      <c r="A88" s="219"/>
      <c r="B88" s="219"/>
      <c r="C88" s="219"/>
      <c r="D88" s="219"/>
      <c r="E88" s="219"/>
      <c r="F88" s="219"/>
      <c r="G88" s="219"/>
      <c r="H88" s="219"/>
      <c r="I88" s="219"/>
      <c r="J88" s="219"/>
      <c r="K88" s="219"/>
      <c r="L88" s="220"/>
      <c r="M88" s="221"/>
      <c r="N88" s="221"/>
      <c r="O88" s="219"/>
      <c r="P88" s="219"/>
    </row>
    <row r="89" ht="15.75" customHeight="1">
      <c r="A89" s="222"/>
      <c r="B89" s="222"/>
      <c r="C89" s="222"/>
      <c r="D89" s="222"/>
      <c r="E89" s="222"/>
      <c r="F89" s="222"/>
      <c r="G89" s="222"/>
      <c r="H89" s="222"/>
      <c r="I89" s="222"/>
      <c r="J89" s="222"/>
      <c r="K89" s="222"/>
      <c r="L89" s="223"/>
      <c r="M89" s="224"/>
      <c r="N89" s="224"/>
      <c r="O89" s="222"/>
      <c r="P89" s="222"/>
    </row>
    <row r="90" ht="15.75" customHeight="1">
      <c r="A90" s="219"/>
      <c r="B90" s="219"/>
      <c r="C90" s="219"/>
      <c r="D90" s="219"/>
      <c r="E90" s="219"/>
      <c r="F90" s="219"/>
      <c r="G90" s="219"/>
      <c r="H90" s="219"/>
      <c r="I90" s="219"/>
      <c r="J90" s="219"/>
      <c r="K90" s="219"/>
      <c r="L90" s="220"/>
      <c r="M90" s="221"/>
      <c r="N90" s="221"/>
      <c r="O90" s="219"/>
      <c r="P90" s="219"/>
    </row>
    <row r="91" ht="15.75" customHeight="1">
      <c r="A91" s="222"/>
      <c r="B91" s="222"/>
      <c r="C91" s="222"/>
      <c r="D91" s="222"/>
      <c r="E91" s="222"/>
      <c r="F91" s="222"/>
      <c r="G91" s="222"/>
      <c r="H91" s="222"/>
      <c r="I91" s="222"/>
      <c r="J91" s="222"/>
      <c r="K91" s="222"/>
      <c r="L91" s="223"/>
      <c r="M91" s="224"/>
      <c r="N91" s="224"/>
      <c r="O91" s="222"/>
      <c r="P91" s="222"/>
    </row>
    <row r="92" ht="15.75" customHeight="1">
      <c r="A92" s="219"/>
      <c r="B92" s="219"/>
      <c r="C92" s="219"/>
      <c r="D92" s="219"/>
      <c r="E92" s="219"/>
      <c r="F92" s="219"/>
      <c r="G92" s="219"/>
      <c r="H92" s="219"/>
      <c r="I92" s="219"/>
      <c r="J92" s="219"/>
      <c r="K92" s="219"/>
      <c r="L92" s="220"/>
      <c r="M92" s="221"/>
      <c r="N92" s="221"/>
      <c r="O92" s="219"/>
      <c r="P92" s="219"/>
    </row>
    <row r="93" ht="15.75" customHeight="1">
      <c r="A93" s="222"/>
      <c r="B93" s="222"/>
      <c r="C93" s="222"/>
      <c r="D93" s="222"/>
      <c r="E93" s="222"/>
      <c r="F93" s="222"/>
      <c r="G93" s="222"/>
      <c r="H93" s="222"/>
      <c r="I93" s="222"/>
      <c r="J93" s="222"/>
      <c r="K93" s="222"/>
      <c r="L93" s="223"/>
      <c r="M93" s="224"/>
      <c r="N93" s="224"/>
      <c r="O93" s="222"/>
      <c r="P93" s="222"/>
    </row>
    <row r="94" ht="15.75" customHeight="1">
      <c r="A94" s="219"/>
      <c r="B94" s="219"/>
      <c r="C94" s="219"/>
      <c r="D94" s="219"/>
      <c r="E94" s="219"/>
      <c r="F94" s="219"/>
      <c r="G94" s="219"/>
      <c r="H94" s="219"/>
      <c r="I94" s="219"/>
      <c r="J94" s="219"/>
      <c r="K94" s="219"/>
      <c r="L94" s="220"/>
      <c r="M94" s="221"/>
      <c r="N94" s="221"/>
      <c r="O94" s="219"/>
      <c r="P94" s="219"/>
    </row>
    <row r="95" ht="15.75" customHeight="1">
      <c r="A95" s="222"/>
      <c r="B95" s="222"/>
      <c r="C95" s="222"/>
      <c r="D95" s="222"/>
      <c r="E95" s="222"/>
      <c r="F95" s="222"/>
      <c r="G95" s="222"/>
      <c r="H95" s="222"/>
      <c r="I95" s="222"/>
      <c r="J95" s="222"/>
      <c r="K95" s="222"/>
      <c r="L95" s="223"/>
      <c r="M95" s="224"/>
      <c r="N95" s="224"/>
      <c r="O95" s="222"/>
      <c r="P95" s="222"/>
    </row>
    <row r="96" ht="15.75" customHeight="1">
      <c r="A96" s="219"/>
      <c r="B96" s="219"/>
      <c r="C96" s="219"/>
      <c r="D96" s="219"/>
      <c r="E96" s="219"/>
      <c r="F96" s="219"/>
      <c r="G96" s="219"/>
      <c r="H96" s="219"/>
      <c r="I96" s="219"/>
      <c r="J96" s="219"/>
      <c r="K96" s="219"/>
      <c r="L96" s="220"/>
      <c r="M96" s="221"/>
      <c r="N96" s="221"/>
      <c r="O96" s="219"/>
      <c r="P96" s="219"/>
    </row>
    <row r="97" ht="15.75" customHeight="1">
      <c r="A97" s="222"/>
      <c r="B97" s="222"/>
      <c r="C97" s="222"/>
      <c r="D97" s="222"/>
      <c r="E97" s="222"/>
      <c r="F97" s="222"/>
      <c r="G97" s="222"/>
      <c r="H97" s="222"/>
      <c r="I97" s="222"/>
      <c r="J97" s="222"/>
      <c r="K97" s="222"/>
      <c r="L97" s="223"/>
      <c r="M97" s="224"/>
      <c r="N97" s="224"/>
      <c r="O97" s="222"/>
      <c r="P97" s="222"/>
    </row>
    <row r="98" ht="15.75" customHeight="1">
      <c r="A98" s="219"/>
      <c r="B98" s="219"/>
      <c r="C98" s="219"/>
      <c r="D98" s="219"/>
      <c r="E98" s="219"/>
      <c r="F98" s="219"/>
      <c r="G98" s="219"/>
      <c r="H98" s="219"/>
      <c r="I98" s="219"/>
      <c r="J98" s="219"/>
      <c r="K98" s="219"/>
      <c r="L98" s="220"/>
      <c r="M98" s="221"/>
      <c r="N98" s="221"/>
      <c r="O98" s="219"/>
      <c r="P98" s="219"/>
    </row>
    <row r="99" ht="15.75" customHeight="1">
      <c r="A99" s="222"/>
      <c r="B99" s="222"/>
      <c r="C99" s="222"/>
      <c r="D99" s="222"/>
      <c r="E99" s="222"/>
      <c r="F99" s="222"/>
      <c r="G99" s="222"/>
      <c r="H99" s="222"/>
      <c r="I99" s="222"/>
      <c r="J99" s="222"/>
      <c r="K99" s="222"/>
      <c r="L99" s="223"/>
      <c r="M99" s="224"/>
      <c r="N99" s="224"/>
      <c r="O99" s="222"/>
      <c r="P99" s="222"/>
    </row>
    <row r="100" ht="15.75" customHeight="1">
      <c r="A100" s="219"/>
      <c r="B100" s="219"/>
      <c r="C100" s="219"/>
      <c r="D100" s="219"/>
      <c r="E100" s="219"/>
      <c r="F100" s="219"/>
      <c r="G100" s="219"/>
      <c r="H100" s="219"/>
      <c r="I100" s="219"/>
      <c r="J100" s="219"/>
      <c r="K100" s="219"/>
      <c r="L100" s="220"/>
      <c r="M100" s="221"/>
      <c r="N100" s="221"/>
      <c r="O100" s="219"/>
      <c r="P100" s="219"/>
    </row>
    <row r="101" ht="15.75" customHeight="1">
      <c r="A101" s="222"/>
      <c r="B101" s="222"/>
      <c r="C101" s="222"/>
      <c r="D101" s="222"/>
      <c r="E101" s="222"/>
      <c r="F101" s="222"/>
      <c r="G101" s="222"/>
      <c r="H101" s="222"/>
      <c r="I101" s="222"/>
      <c r="J101" s="222"/>
      <c r="K101" s="222"/>
      <c r="L101" s="223"/>
      <c r="M101" s="224"/>
      <c r="N101" s="224"/>
      <c r="O101" s="222"/>
      <c r="P101" s="222"/>
    </row>
    <row r="102" ht="15.75" customHeight="1">
      <c r="A102" s="219"/>
      <c r="B102" s="219"/>
      <c r="C102" s="219"/>
      <c r="D102" s="219"/>
      <c r="E102" s="219"/>
      <c r="F102" s="219"/>
      <c r="G102" s="219"/>
      <c r="H102" s="219"/>
      <c r="I102" s="219"/>
      <c r="J102" s="219"/>
      <c r="K102" s="219"/>
      <c r="L102" s="220"/>
      <c r="M102" s="221"/>
      <c r="N102" s="221"/>
      <c r="O102" s="219"/>
      <c r="P102" s="219"/>
    </row>
    <row r="103" ht="15.75" customHeight="1">
      <c r="A103" s="222"/>
      <c r="B103" s="222"/>
      <c r="C103" s="222"/>
      <c r="D103" s="222"/>
      <c r="E103" s="222"/>
      <c r="F103" s="222"/>
      <c r="G103" s="222"/>
      <c r="H103" s="222"/>
      <c r="I103" s="222"/>
      <c r="J103" s="222"/>
      <c r="K103" s="222"/>
      <c r="L103" s="223"/>
      <c r="M103" s="224"/>
      <c r="N103" s="224"/>
      <c r="O103" s="222"/>
      <c r="P103" s="222"/>
    </row>
    <row r="104" ht="15.75" customHeight="1">
      <c r="A104" s="219"/>
      <c r="B104" s="219"/>
      <c r="C104" s="219"/>
      <c r="D104" s="219"/>
      <c r="E104" s="219"/>
      <c r="F104" s="219"/>
      <c r="G104" s="219"/>
      <c r="H104" s="219"/>
      <c r="I104" s="219"/>
      <c r="J104" s="219"/>
      <c r="K104" s="219"/>
      <c r="L104" s="220"/>
      <c r="M104" s="221"/>
      <c r="N104" s="221"/>
      <c r="O104" s="219"/>
      <c r="P104" s="219"/>
    </row>
    <row r="105" ht="15.75" customHeight="1">
      <c r="A105" s="222"/>
      <c r="B105" s="222"/>
      <c r="C105" s="222"/>
      <c r="D105" s="222"/>
      <c r="E105" s="222"/>
      <c r="F105" s="222"/>
      <c r="G105" s="222"/>
      <c r="H105" s="222"/>
      <c r="I105" s="222"/>
      <c r="J105" s="222"/>
      <c r="K105" s="222"/>
      <c r="L105" s="223"/>
      <c r="M105" s="224"/>
      <c r="N105" s="224"/>
      <c r="O105" s="222"/>
      <c r="P105" s="222"/>
    </row>
    <row r="106" ht="15.75" customHeight="1">
      <c r="A106" s="219"/>
      <c r="B106" s="219"/>
      <c r="C106" s="219"/>
      <c r="D106" s="219"/>
      <c r="E106" s="219"/>
      <c r="F106" s="219"/>
      <c r="G106" s="219"/>
      <c r="H106" s="219"/>
      <c r="I106" s="219"/>
      <c r="J106" s="219"/>
      <c r="K106" s="219"/>
      <c r="L106" s="220"/>
      <c r="M106" s="221"/>
      <c r="N106" s="221"/>
      <c r="O106" s="219"/>
      <c r="P106" s="219"/>
    </row>
    <row r="107" ht="15.75" customHeight="1">
      <c r="A107" s="222"/>
      <c r="B107" s="222"/>
      <c r="C107" s="222"/>
      <c r="D107" s="222"/>
      <c r="E107" s="222"/>
      <c r="F107" s="222"/>
      <c r="G107" s="222"/>
      <c r="H107" s="222"/>
      <c r="I107" s="222"/>
      <c r="J107" s="222"/>
      <c r="K107" s="222"/>
      <c r="L107" s="223"/>
      <c r="M107" s="224"/>
      <c r="N107" s="224"/>
      <c r="O107" s="222"/>
      <c r="P107" s="222"/>
    </row>
    <row r="108" ht="15.75" customHeight="1">
      <c r="A108" s="219"/>
      <c r="B108" s="219"/>
      <c r="C108" s="219"/>
      <c r="D108" s="219"/>
      <c r="E108" s="219"/>
      <c r="F108" s="219"/>
      <c r="G108" s="219"/>
      <c r="H108" s="219"/>
      <c r="I108" s="219"/>
      <c r="J108" s="219"/>
      <c r="K108" s="219"/>
      <c r="L108" s="220"/>
      <c r="M108" s="221"/>
      <c r="N108" s="221"/>
      <c r="O108" s="219"/>
      <c r="P108" s="219"/>
    </row>
    <row r="109" ht="15.75" customHeight="1">
      <c r="A109" s="222"/>
      <c r="B109" s="222"/>
      <c r="C109" s="222"/>
      <c r="D109" s="222"/>
      <c r="E109" s="222"/>
      <c r="F109" s="222"/>
      <c r="G109" s="222"/>
      <c r="H109" s="222"/>
      <c r="I109" s="222"/>
      <c r="J109" s="222"/>
      <c r="K109" s="222"/>
      <c r="L109" s="223"/>
      <c r="M109" s="224"/>
      <c r="N109" s="224"/>
      <c r="O109" s="222"/>
      <c r="P109" s="222"/>
    </row>
    <row r="110" ht="15.75" customHeight="1">
      <c r="A110" s="219"/>
      <c r="B110" s="219"/>
      <c r="C110" s="219"/>
      <c r="D110" s="219"/>
      <c r="E110" s="219"/>
      <c r="F110" s="219"/>
      <c r="G110" s="219"/>
      <c r="H110" s="219"/>
      <c r="I110" s="219"/>
      <c r="J110" s="219"/>
      <c r="K110" s="219"/>
      <c r="L110" s="220"/>
      <c r="M110" s="221"/>
      <c r="N110" s="221"/>
      <c r="O110" s="219"/>
      <c r="P110" s="219"/>
    </row>
    <row r="111" ht="15.75" customHeight="1">
      <c r="A111" s="222"/>
      <c r="B111" s="222"/>
      <c r="C111" s="222"/>
      <c r="D111" s="222"/>
      <c r="E111" s="222"/>
      <c r="F111" s="222"/>
      <c r="G111" s="222"/>
      <c r="H111" s="222"/>
      <c r="I111" s="222"/>
      <c r="J111" s="222"/>
      <c r="K111" s="222"/>
      <c r="L111" s="223"/>
      <c r="M111" s="224"/>
      <c r="N111" s="224"/>
      <c r="O111" s="222"/>
      <c r="P111" s="222"/>
    </row>
    <row r="112" ht="15.75" customHeight="1">
      <c r="A112" s="219"/>
      <c r="B112" s="219"/>
      <c r="C112" s="219"/>
      <c r="D112" s="219"/>
      <c r="E112" s="219"/>
      <c r="F112" s="219"/>
      <c r="G112" s="219"/>
      <c r="H112" s="219"/>
      <c r="I112" s="219"/>
      <c r="J112" s="219"/>
      <c r="K112" s="219"/>
      <c r="L112" s="220"/>
      <c r="M112" s="221"/>
      <c r="N112" s="221"/>
      <c r="O112" s="219"/>
      <c r="P112" s="219"/>
    </row>
    <row r="113" ht="15.75" customHeight="1">
      <c r="A113" s="222"/>
      <c r="B113" s="222"/>
      <c r="C113" s="222"/>
      <c r="D113" s="222"/>
      <c r="E113" s="222"/>
      <c r="F113" s="222"/>
      <c r="G113" s="222"/>
      <c r="H113" s="222"/>
      <c r="I113" s="222"/>
      <c r="J113" s="222"/>
      <c r="K113" s="222"/>
      <c r="L113" s="223"/>
      <c r="M113" s="224"/>
      <c r="N113" s="224"/>
      <c r="O113" s="222"/>
      <c r="P113" s="222"/>
    </row>
    <row r="114" ht="15.75" customHeight="1">
      <c r="A114" s="219"/>
      <c r="B114" s="219"/>
      <c r="C114" s="219"/>
      <c r="D114" s="219"/>
      <c r="E114" s="219"/>
      <c r="F114" s="219"/>
      <c r="G114" s="219"/>
      <c r="H114" s="219"/>
      <c r="I114" s="219"/>
      <c r="J114" s="219"/>
      <c r="K114" s="219"/>
      <c r="L114" s="220"/>
      <c r="M114" s="221"/>
      <c r="N114" s="221"/>
      <c r="O114" s="219"/>
      <c r="P114" s="219"/>
    </row>
    <row r="115" ht="15.75" customHeight="1">
      <c r="A115" s="222"/>
      <c r="B115" s="222"/>
      <c r="C115" s="222"/>
      <c r="D115" s="222"/>
      <c r="E115" s="222"/>
      <c r="F115" s="222"/>
      <c r="G115" s="222"/>
      <c r="H115" s="222"/>
      <c r="I115" s="222"/>
      <c r="J115" s="222"/>
      <c r="K115" s="222"/>
      <c r="L115" s="223"/>
      <c r="M115" s="224"/>
      <c r="N115" s="224"/>
      <c r="O115" s="222"/>
      <c r="P115" s="222"/>
    </row>
    <row r="116" ht="15.75" customHeight="1">
      <c r="A116" s="219"/>
      <c r="B116" s="219"/>
      <c r="C116" s="219"/>
      <c r="D116" s="219"/>
      <c r="E116" s="219"/>
      <c r="F116" s="219"/>
      <c r="G116" s="219"/>
      <c r="H116" s="219"/>
      <c r="I116" s="219"/>
      <c r="J116" s="219"/>
      <c r="K116" s="219"/>
      <c r="L116" s="220"/>
      <c r="M116" s="221"/>
      <c r="N116" s="221"/>
      <c r="O116" s="219"/>
      <c r="P116" s="219"/>
    </row>
    <row r="117" ht="15.75" customHeight="1">
      <c r="A117" s="222"/>
      <c r="B117" s="222"/>
      <c r="C117" s="222"/>
      <c r="D117" s="222"/>
      <c r="E117" s="222"/>
      <c r="F117" s="222"/>
      <c r="G117" s="222"/>
      <c r="H117" s="222"/>
      <c r="I117" s="222"/>
      <c r="J117" s="222"/>
      <c r="K117" s="222"/>
      <c r="L117" s="223"/>
      <c r="M117" s="224"/>
      <c r="N117" s="224"/>
      <c r="O117" s="222"/>
      <c r="P117" s="222"/>
    </row>
    <row r="118" ht="15.75" customHeight="1">
      <c r="A118" s="219"/>
      <c r="B118" s="219"/>
      <c r="C118" s="219"/>
      <c r="D118" s="219"/>
      <c r="E118" s="219"/>
      <c r="F118" s="219"/>
      <c r="G118" s="219"/>
      <c r="H118" s="219"/>
      <c r="I118" s="219"/>
      <c r="J118" s="219"/>
      <c r="K118" s="219"/>
      <c r="L118" s="220"/>
      <c r="M118" s="221"/>
      <c r="N118" s="221"/>
      <c r="O118" s="219"/>
      <c r="P118" s="219"/>
    </row>
    <row r="119" ht="15.75" customHeight="1">
      <c r="A119" s="222"/>
      <c r="B119" s="222"/>
      <c r="C119" s="222"/>
      <c r="D119" s="222"/>
      <c r="E119" s="222"/>
      <c r="F119" s="222"/>
      <c r="G119" s="222"/>
      <c r="H119" s="222"/>
      <c r="I119" s="222"/>
      <c r="J119" s="222"/>
      <c r="K119" s="222"/>
      <c r="L119" s="223"/>
      <c r="M119" s="224"/>
      <c r="N119" s="224"/>
      <c r="O119" s="222"/>
      <c r="P119" s="222"/>
    </row>
    <row r="120" ht="15.75" customHeight="1">
      <c r="A120" s="219"/>
      <c r="B120" s="219"/>
      <c r="C120" s="219"/>
      <c r="D120" s="219"/>
      <c r="E120" s="219"/>
      <c r="F120" s="219"/>
      <c r="G120" s="219"/>
      <c r="H120" s="219"/>
      <c r="I120" s="219"/>
      <c r="J120" s="219"/>
      <c r="K120" s="219"/>
      <c r="L120" s="220"/>
      <c r="M120" s="221"/>
      <c r="N120" s="221"/>
      <c r="O120" s="219"/>
      <c r="P120" s="219"/>
    </row>
    <row r="121" ht="15.75" customHeight="1">
      <c r="A121" s="222"/>
      <c r="B121" s="222"/>
      <c r="C121" s="222"/>
      <c r="D121" s="222"/>
      <c r="E121" s="222"/>
      <c r="F121" s="222"/>
      <c r="G121" s="222"/>
      <c r="H121" s="222"/>
      <c r="I121" s="222"/>
      <c r="J121" s="222"/>
      <c r="K121" s="222"/>
      <c r="L121" s="223"/>
      <c r="M121" s="224"/>
      <c r="N121" s="224"/>
      <c r="O121" s="222"/>
      <c r="P121" s="222"/>
    </row>
    <row r="122" ht="15.75" customHeight="1">
      <c r="A122" s="219"/>
      <c r="B122" s="219"/>
      <c r="C122" s="219"/>
      <c r="D122" s="219"/>
      <c r="E122" s="219"/>
      <c r="F122" s="219"/>
      <c r="G122" s="219"/>
      <c r="H122" s="219"/>
      <c r="I122" s="219"/>
      <c r="J122" s="219"/>
      <c r="K122" s="219"/>
      <c r="L122" s="220"/>
      <c r="M122" s="221"/>
      <c r="N122" s="221"/>
      <c r="O122" s="219"/>
      <c r="P122" s="219"/>
    </row>
    <row r="123" ht="15.75" customHeight="1">
      <c r="A123" s="222"/>
      <c r="B123" s="222"/>
      <c r="C123" s="222"/>
      <c r="D123" s="222"/>
      <c r="E123" s="222"/>
      <c r="F123" s="222"/>
      <c r="G123" s="222"/>
      <c r="H123" s="222"/>
      <c r="I123" s="222"/>
      <c r="J123" s="222"/>
      <c r="K123" s="222"/>
      <c r="L123" s="223"/>
      <c r="M123" s="224"/>
      <c r="N123" s="224"/>
      <c r="O123" s="222"/>
      <c r="P123" s="222"/>
    </row>
    <row r="124" ht="15.75" customHeight="1">
      <c r="A124" s="219"/>
      <c r="B124" s="219"/>
      <c r="C124" s="219"/>
      <c r="D124" s="219"/>
      <c r="E124" s="219"/>
      <c r="F124" s="219"/>
      <c r="G124" s="219"/>
      <c r="H124" s="219"/>
      <c r="I124" s="219"/>
      <c r="J124" s="219"/>
      <c r="K124" s="219"/>
      <c r="L124" s="220"/>
      <c r="M124" s="221"/>
      <c r="N124" s="221"/>
      <c r="O124" s="219"/>
      <c r="P124" s="219"/>
    </row>
    <row r="125" ht="15.75" customHeight="1">
      <c r="A125" s="222"/>
      <c r="B125" s="222"/>
      <c r="C125" s="222"/>
      <c r="D125" s="222"/>
      <c r="E125" s="222"/>
      <c r="F125" s="222"/>
      <c r="G125" s="222"/>
      <c r="H125" s="222"/>
      <c r="I125" s="222"/>
      <c r="J125" s="222"/>
      <c r="K125" s="222"/>
      <c r="L125" s="223"/>
      <c r="M125" s="224"/>
      <c r="N125" s="224"/>
      <c r="O125" s="222"/>
      <c r="P125" s="222"/>
    </row>
    <row r="126" ht="15.75" customHeight="1">
      <c r="A126" s="219"/>
      <c r="B126" s="219"/>
      <c r="C126" s="219"/>
      <c r="D126" s="219"/>
      <c r="E126" s="219"/>
      <c r="F126" s="219"/>
      <c r="G126" s="219"/>
      <c r="H126" s="219"/>
      <c r="I126" s="219"/>
      <c r="J126" s="219"/>
      <c r="K126" s="219"/>
      <c r="L126" s="220"/>
      <c r="M126" s="221"/>
      <c r="N126" s="221"/>
      <c r="O126" s="219"/>
      <c r="P126" s="219"/>
    </row>
    <row r="127" ht="15.75" customHeight="1">
      <c r="A127" s="222"/>
      <c r="B127" s="222"/>
      <c r="C127" s="222"/>
      <c r="D127" s="222"/>
      <c r="E127" s="222"/>
      <c r="F127" s="222"/>
      <c r="G127" s="222"/>
      <c r="H127" s="222"/>
      <c r="I127" s="222"/>
      <c r="J127" s="222"/>
      <c r="K127" s="222"/>
      <c r="L127" s="223"/>
      <c r="M127" s="224"/>
      <c r="N127" s="224"/>
      <c r="O127" s="222"/>
      <c r="P127" s="222"/>
    </row>
    <row r="128" ht="15.75" customHeight="1">
      <c r="A128" s="219"/>
      <c r="B128" s="219"/>
      <c r="C128" s="219"/>
      <c r="D128" s="219"/>
      <c r="E128" s="219"/>
      <c r="F128" s="219"/>
      <c r="G128" s="219"/>
      <c r="H128" s="219"/>
      <c r="I128" s="219"/>
      <c r="J128" s="219"/>
      <c r="K128" s="219"/>
      <c r="L128" s="220"/>
      <c r="M128" s="221"/>
      <c r="N128" s="221"/>
      <c r="O128" s="219"/>
      <c r="P128" s="219"/>
    </row>
    <row r="129" ht="15.75" customHeight="1">
      <c r="A129" s="222"/>
      <c r="B129" s="222"/>
      <c r="C129" s="222"/>
      <c r="D129" s="222"/>
      <c r="E129" s="222"/>
      <c r="F129" s="222"/>
      <c r="G129" s="222"/>
      <c r="H129" s="222"/>
      <c r="I129" s="222"/>
      <c r="J129" s="222"/>
      <c r="K129" s="222"/>
      <c r="L129" s="223"/>
      <c r="M129" s="224"/>
      <c r="N129" s="224"/>
      <c r="O129" s="222"/>
      <c r="P129" s="222"/>
    </row>
    <row r="130" ht="15.75" customHeight="1">
      <c r="A130" s="219"/>
      <c r="B130" s="219"/>
      <c r="C130" s="219"/>
      <c r="D130" s="219"/>
      <c r="E130" s="219"/>
      <c r="F130" s="219"/>
      <c r="G130" s="219"/>
      <c r="H130" s="219"/>
      <c r="I130" s="219"/>
      <c r="J130" s="219"/>
      <c r="K130" s="219"/>
      <c r="L130" s="220"/>
      <c r="M130" s="221"/>
      <c r="N130" s="221"/>
      <c r="O130" s="219"/>
      <c r="P130" s="219"/>
    </row>
    <row r="131" ht="15.75" customHeight="1">
      <c r="A131" s="222"/>
      <c r="B131" s="222"/>
      <c r="C131" s="222"/>
      <c r="D131" s="222"/>
      <c r="E131" s="222"/>
      <c r="F131" s="222"/>
      <c r="G131" s="222"/>
      <c r="H131" s="222"/>
      <c r="I131" s="222"/>
      <c r="J131" s="222"/>
      <c r="K131" s="222"/>
      <c r="L131" s="223"/>
      <c r="M131" s="224"/>
      <c r="N131" s="224"/>
      <c r="O131" s="222"/>
      <c r="P131" s="222"/>
    </row>
    <row r="132" ht="15.75" customHeight="1">
      <c r="A132" s="219"/>
      <c r="B132" s="219"/>
      <c r="C132" s="219"/>
      <c r="D132" s="219"/>
      <c r="E132" s="219"/>
      <c r="F132" s="219"/>
      <c r="G132" s="219"/>
      <c r="H132" s="219"/>
      <c r="I132" s="219"/>
      <c r="J132" s="219"/>
      <c r="K132" s="219"/>
      <c r="L132" s="220"/>
      <c r="M132" s="221"/>
      <c r="N132" s="221"/>
      <c r="O132" s="219"/>
      <c r="P132" s="219"/>
    </row>
    <row r="133" ht="15.75" customHeight="1">
      <c r="A133" s="222"/>
      <c r="B133" s="222"/>
      <c r="C133" s="222"/>
      <c r="D133" s="222"/>
      <c r="E133" s="222"/>
      <c r="F133" s="222"/>
      <c r="G133" s="222"/>
      <c r="H133" s="222"/>
      <c r="I133" s="222"/>
      <c r="J133" s="222"/>
      <c r="K133" s="222"/>
      <c r="L133" s="223"/>
      <c r="M133" s="224"/>
      <c r="N133" s="224"/>
      <c r="O133" s="222"/>
      <c r="P133" s="222"/>
    </row>
    <row r="134" ht="15.75" customHeight="1">
      <c r="A134" s="219"/>
      <c r="B134" s="219"/>
      <c r="C134" s="219"/>
      <c r="D134" s="219"/>
      <c r="E134" s="219"/>
      <c r="F134" s="219"/>
      <c r="G134" s="219"/>
      <c r="H134" s="219"/>
      <c r="I134" s="219"/>
      <c r="J134" s="219"/>
      <c r="K134" s="219"/>
      <c r="L134" s="220"/>
      <c r="M134" s="221"/>
      <c r="N134" s="221"/>
      <c r="O134" s="219"/>
      <c r="P134" s="219"/>
    </row>
    <row r="135" ht="15.75" customHeight="1">
      <c r="A135" s="222"/>
      <c r="B135" s="222"/>
      <c r="C135" s="222"/>
      <c r="D135" s="222"/>
      <c r="E135" s="222"/>
      <c r="F135" s="222"/>
      <c r="G135" s="222"/>
      <c r="H135" s="222"/>
      <c r="I135" s="222"/>
      <c r="J135" s="222"/>
      <c r="K135" s="222"/>
      <c r="L135" s="223"/>
      <c r="M135" s="224"/>
      <c r="N135" s="224"/>
      <c r="O135" s="222"/>
      <c r="P135" s="222"/>
    </row>
    <row r="136" ht="15.75" customHeight="1">
      <c r="A136" s="219"/>
      <c r="B136" s="219"/>
      <c r="C136" s="219"/>
      <c r="D136" s="219"/>
      <c r="E136" s="219"/>
      <c r="F136" s="219"/>
      <c r="G136" s="219"/>
      <c r="H136" s="219"/>
      <c r="I136" s="219"/>
      <c r="J136" s="219"/>
      <c r="K136" s="219"/>
      <c r="L136" s="220"/>
      <c r="M136" s="221"/>
      <c r="N136" s="221"/>
      <c r="O136" s="219"/>
      <c r="P136" s="219"/>
    </row>
    <row r="137" ht="15.75" customHeight="1">
      <c r="A137" s="222"/>
      <c r="B137" s="222"/>
      <c r="C137" s="222"/>
      <c r="D137" s="222"/>
      <c r="E137" s="222"/>
      <c r="F137" s="222"/>
      <c r="G137" s="222"/>
      <c r="H137" s="222"/>
      <c r="I137" s="222"/>
      <c r="J137" s="222"/>
      <c r="K137" s="222"/>
      <c r="L137" s="223"/>
      <c r="M137" s="224"/>
      <c r="N137" s="224"/>
      <c r="O137" s="222"/>
      <c r="P137" s="222"/>
    </row>
    <row r="138" ht="15.75" customHeight="1">
      <c r="A138" s="219"/>
      <c r="B138" s="219"/>
      <c r="C138" s="219"/>
      <c r="D138" s="219"/>
      <c r="E138" s="219"/>
      <c r="F138" s="219"/>
      <c r="G138" s="219"/>
      <c r="H138" s="219"/>
      <c r="I138" s="219"/>
      <c r="J138" s="219"/>
      <c r="K138" s="219"/>
      <c r="L138" s="220"/>
      <c r="M138" s="221"/>
      <c r="N138" s="221"/>
      <c r="O138" s="219"/>
      <c r="P138" s="219"/>
    </row>
    <row r="139" ht="15.75" customHeight="1">
      <c r="A139" s="222"/>
      <c r="B139" s="222"/>
      <c r="C139" s="222"/>
      <c r="D139" s="222"/>
      <c r="E139" s="222"/>
      <c r="F139" s="222"/>
      <c r="G139" s="222"/>
      <c r="H139" s="222"/>
      <c r="I139" s="222"/>
      <c r="J139" s="222"/>
      <c r="K139" s="222"/>
      <c r="L139" s="223"/>
      <c r="M139" s="224"/>
      <c r="N139" s="224"/>
      <c r="O139" s="222"/>
      <c r="P139" s="222"/>
    </row>
    <row r="140" ht="15.75" customHeight="1">
      <c r="A140" s="219"/>
      <c r="B140" s="219"/>
      <c r="C140" s="219"/>
      <c r="D140" s="219"/>
      <c r="E140" s="219"/>
      <c r="F140" s="219"/>
      <c r="G140" s="219"/>
      <c r="H140" s="219"/>
      <c r="I140" s="219"/>
      <c r="J140" s="219"/>
      <c r="K140" s="219"/>
      <c r="L140" s="220"/>
      <c r="M140" s="221"/>
      <c r="N140" s="221"/>
      <c r="O140" s="219"/>
      <c r="P140" s="219"/>
    </row>
    <row r="141" ht="15.75" customHeight="1">
      <c r="A141" s="222"/>
      <c r="B141" s="222"/>
      <c r="C141" s="222"/>
      <c r="D141" s="222"/>
      <c r="E141" s="222"/>
      <c r="F141" s="222"/>
      <c r="G141" s="222"/>
      <c r="H141" s="222"/>
      <c r="I141" s="222"/>
      <c r="J141" s="222"/>
      <c r="K141" s="222"/>
      <c r="L141" s="223"/>
      <c r="M141" s="224"/>
      <c r="N141" s="224"/>
      <c r="O141" s="222"/>
      <c r="P141" s="222"/>
    </row>
    <row r="142" ht="15.75" customHeight="1">
      <c r="A142" s="219"/>
      <c r="B142" s="219"/>
      <c r="C142" s="219"/>
      <c r="D142" s="219"/>
      <c r="E142" s="219"/>
      <c r="F142" s="219"/>
      <c r="G142" s="219"/>
      <c r="H142" s="219"/>
      <c r="I142" s="219"/>
      <c r="J142" s="219"/>
      <c r="K142" s="219"/>
      <c r="L142" s="220"/>
      <c r="M142" s="221"/>
      <c r="N142" s="221"/>
      <c r="O142" s="219"/>
      <c r="P142" s="219"/>
    </row>
    <row r="143" ht="15.75" customHeight="1">
      <c r="A143" s="222"/>
      <c r="B143" s="222"/>
      <c r="C143" s="222"/>
      <c r="D143" s="222"/>
      <c r="E143" s="222"/>
      <c r="F143" s="222"/>
      <c r="G143" s="222"/>
      <c r="H143" s="222"/>
      <c r="I143" s="222"/>
      <c r="J143" s="222"/>
      <c r="K143" s="222"/>
      <c r="L143" s="223"/>
      <c r="M143" s="224"/>
      <c r="N143" s="224"/>
      <c r="O143" s="222"/>
      <c r="P143" s="222"/>
    </row>
    <row r="144" ht="15.75" customHeight="1">
      <c r="A144" s="219"/>
      <c r="B144" s="219"/>
      <c r="C144" s="219"/>
      <c r="D144" s="219"/>
      <c r="E144" s="219"/>
      <c r="F144" s="219"/>
      <c r="G144" s="219"/>
      <c r="H144" s="219"/>
      <c r="I144" s="219"/>
      <c r="J144" s="219"/>
      <c r="K144" s="219"/>
      <c r="L144" s="220"/>
      <c r="M144" s="221"/>
      <c r="N144" s="221"/>
      <c r="O144" s="219"/>
      <c r="P144" s="219"/>
    </row>
    <row r="145" ht="15.75" customHeight="1">
      <c r="A145" s="222"/>
      <c r="B145" s="222"/>
      <c r="C145" s="222"/>
      <c r="D145" s="222"/>
      <c r="E145" s="222"/>
      <c r="F145" s="222"/>
      <c r="G145" s="222"/>
      <c r="H145" s="222"/>
      <c r="I145" s="222"/>
      <c r="J145" s="222"/>
      <c r="K145" s="222"/>
      <c r="L145" s="223"/>
      <c r="M145" s="224"/>
      <c r="N145" s="224"/>
      <c r="O145" s="222"/>
      <c r="P145" s="222"/>
    </row>
    <row r="146" ht="15.75" customHeight="1">
      <c r="A146" s="219"/>
      <c r="B146" s="219"/>
      <c r="C146" s="219"/>
      <c r="D146" s="219"/>
      <c r="E146" s="219"/>
      <c r="F146" s="219"/>
      <c r="G146" s="219"/>
      <c r="H146" s="219"/>
      <c r="I146" s="219"/>
      <c r="J146" s="219"/>
      <c r="K146" s="219"/>
      <c r="L146" s="220"/>
      <c r="M146" s="221"/>
      <c r="N146" s="221"/>
      <c r="O146" s="219"/>
      <c r="P146" s="219"/>
    </row>
    <row r="147" ht="15.75" customHeight="1">
      <c r="A147" s="222"/>
      <c r="B147" s="222"/>
      <c r="C147" s="222"/>
      <c r="D147" s="222"/>
      <c r="E147" s="222"/>
      <c r="F147" s="222"/>
      <c r="G147" s="222"/>
      <c r="H147" s="222"/>
      <c r="I147" s="222"/>
      <c r="J147" s="222"/>
      <c r="K147" s="222"/>
      <c r="L147" s="223"/>
      <c r="M147" s="224"/>
      <c r="N147" s="224"/>
      <c r="O147" s="222"/>
      <c r="P147" s="222"/>
    </row>
    <row r="148" ht="15.75" customHeight="1">
      <c r="A148" s="219"/>
      <c r="B148" s="219"/>
      <c r="C148" s="219"/>
      <c r="D148" s="219"/>
      <c r="E148" s="219"/>
      <c r="F148" s="219"/>
      <c r="G148" s="219"/>
      <c r="H148" s="219"/>
      <c r="I148" s="219"/>
      <c r="J148" s="219"/>
      <c r="K148" s="219"/>
      <c r="L148" s="220"/>
      <c r="M148" s="221"/>
      <c r="N148" s="221"/>
      <c r="O148" s="219"/>
      <c r="P148" s="219"/>
    </row>
    <row r="149" ht="15.75" customHeight="1">
      <c r="A149" s="222"/>
      <c r="B149" s="222"/>
      <c r="C149" s="222"/>
      <c r="D149" s="222"/>
      <c r="E149" s="222"/>
      <c r="F149" s="222"/>
      <c r="G149" s="222"/>
      <c r="H149" s="222"/>
      <c r="I149" s="222"/>
      <c r="J149" s="222"/>
      <c r="K149" s="222"/>
      <c r="L149" s="223"/>
      <c r="M149" s="224"/>
      <c r="N149" s="224"/>
      <c r="O149" s="222"/>
      <c r="P149" s="222"/>
    </row>
    <row r="150" ht="15.75" customHeight="1">
      <c r="A150" s="219"/>
      <c r="B150" s="219"/>
      <c r="C150" s="219"/>
      <c r="D150" s="219"/>
      <c r="E150" s="219"/>
      <c r="F150" s="219"/>
      <c r="G150" s="219"/>
      <c r="H150" s="219"/>
      <c r="I150" s="219"/>
      <c r="J150" s="219"/>
      <c r="K150" s="219"/>
      <c r="L150" s="220"/>
      <c r="M150" s="221"/>
      <c r="N150" s="221"/>
      <c r="O150" s="219"/>
      <c r="P150" s="219"/>
    </row>
    <row r="151" ht="15.75" customHeight="1">
      <c r="A151" s="222"/>
      <c r="B151" s="222"/>
      <c r="C151" s="222"/>
      <c r="D151" s="222"/>
      <c r="E151" s="222"/>
      <c r="F151" s="222"/>
      <c r="G151" s="222"/>
      <c r="H151" s="222"/>
      <c r="I151" s="222"/>
      <c r="J151" s="222"/>
      <c r="K151" s="222"/>
      <c r="L151" s="223"/>
      <c r="M151" s="224"/>
      <c r="N151" s="224"/>
      <c r="O151" s="222"/>
      <c r="P151" s="222"/>
    </row>
    <row r="152" ht="15.75" customHeight="1">
      <c r="A152" s="219"/>
      <c r="B152" s="219"/>
      <c r="C152" s="219"/>
      <c r="D152" s="219"/>
      <c r="E152" s="219"/>
      <c r="F152" s="219"/>
      <c r="G152" s="219"/>
      <c r="H152" s="219"/>
      <c r="I152" s="219"/>
      <c r="J152" s="219"/>
      <c r="K152" s="219"/>
      <c r="L152" s="220"/>
      <c r="M152" s="221"/>
      <c r="N152" s="221"/>
      <c r="O152" s="219"/>
      <c r="P152" s="219"/>
    </row>
    <row r="153" ht="15.75" customHeight="1">
      <c r="A153" s="222"/>
      <c r="B153" s="222"/>
      <c r="C153" s="222"/>
      <c r="D153" s="222"/>
      <c r="E153" s="222"/>
      <c r="F153" s="222"/>
      <c r="G153" s="222"/>
      <c r="H153" s="222"/>
      <c r="I153" s="222"/>
      <c r="J153" s="222"/>
      <c r="K153" s="222"/>
      <c r="L153" s="223"/>
      <c r="M153" s="224"/>
      <c r="N153" s="224"/>
      <c r="O153" s="222"/>
      <c r="P153" s="222"/>
    </row>
    <row r="154" ht="15.75" customHeight="1">
      <c r="A154" s="219"/>
      <c r="B154" s="219"/>
      <c r="C154" s="219"/>
      <c r="D154" s="219"/>
      <c r="E154" s="219"/>
      <c r="F154" s="219"/>
      <c r="G154" s="219"/>
      <c r="H154" s="219"/>
      <c r="I154" s="219"/>
      <c r="J154" s="219"/>
      <c r="K154" s="219"/>
      <c r="L154" s="220"/>
      <c r="M154" s="221"/>
      <c r="N154" s="221"/>
      <c r="O154" s="219"/>
      <c r="P154" s="219"/>
    </row>
    <row r="155" ht="15.75" customHeight="1">
      <c r="A155" s="222"/>
      <c r="B155" s="222"/>
      <c r="C155" s="222"/>
      <c r="D155" s="222"/>
      <c r="E155" s="222"/>
      <c r="F155" s="222"/>
      <c r="G155" s="222"/>
      <c r="H155" s="222"/>
      <c r="I155" s="222"/>
      <c r="J155" s="222"/>
      <c r="K155" s="222"/>
      <c r="L155" s="223"/>
      <c r="M155" s="224"/>
      <c r="N155" s="224"/>
      <c r="O155" s="222"/>
      <c r="P155" s="222"/>
    </row>
    <row r="156" ht="15.75" customHeight="1">
      <c r="A156" s="219"/>
      <c r="B156" s="219"/>
      <c r="C156" s="219"/>
      <c r="D156" s="219"/>
      <c r="E156" s="219"/>
      <c r="F156" s="219"/>
      <c r="G156" s="219"/>
      <c r="H156" s="219"/>
      <c r="I156" s="219"/>
      <c r="J156" s="219"/>
      <c r="K156" s="219"/>
      <c r="L156" s="220"/>
      <c r="M156" s="221"/>
      <c r="N156" s="221"/>
      <c r="O156" s="219"/>
      <c r="P156" s="219"/>
    </row>
    <row r="157" ht="15.75" customHeight="1">
      <c r="A157" s="222"/>
      <c r="B157" s="222"/>
      <c r="C157" s="222"/>
      <c r="D157" s="222"/>
      <c r="E157" s="222"/>
      <c r="F157" s="222"/>
      <c r="G157" s="222"/>
      <c r="H157" s="222"/>
      <c r="I157" s="222"/>
      <c r="J157" s="222"/>
      <c r="K157" s="222"/>
      <c r="L157" s="223"/>
      <c r="M157" s="224"/>
      <c r="N157" s="224"/>
      <c r="O157" s="222"/>
      <c r="P157" s="222"/>
    </row>
    <row r="158" ht="15.75" customHeight="1">
      <c r="A158" s="219"/>
      <c r="B158" s="219"/>
      <c r="C158" s="219"/>
      <c r="D158" s="219"/>
      <c r="E158" s="219"/>
      <c r="F158" s="219"/>
      <c r="G158" s="219"/>
      <c r="H158" s="219"/>
      <c r="I158" s="219"/>
      <c r="J158" s="219"/>
      <c r="K158" s="219"/>
      <c r="L158" s="220"/>
      <c r="M158" s="221"/>
      <c r="N158" s="221"/>
      <c r="O158" s="219"/>
      <c r="P158" s="219"/>
    </row>
    <row r="159" ht="15.75" customHeight="1">
      <c r="A159" s="222"/>
      <c r="B159" s="222"/>
      <c r="C159" s="222"/>
      <c r="D159" s="222"/>
      <c r="E159" s="222"/>
      <c r="F159" s="222"/>
      <c r="G159" s="222"/>
      <c r="H159" s="222"/>
      <c r="I159" s="222"/>
      <c r="J159" s="222"/>
      <c r="K159" s="222"/>
      <c r="L159" s="223"/>
      <c r="M159" s="224"/>
      <c r="N159" s="224"/>
      <c r="O159" s="222"/>
      <c r="P159" s="222"/>
    </row>
    <row r="160" ht="15.75" customHeight="1">
      <c r="A160" s="219"/>
      <c r="B160" s="219"/>
      <c r="C160" s="219"/>
      <c r="D160" s="219"/>
      <c r="E160" s="219"/>
      <c r="F160" s="219"/>
      <c r="G160" s="219"/>
      <c r="H160" s="219"/>
      <c r="I160" s="219"/>
      <c r="J160" s="219"/>
      <c r="K160" s="219"/>
      <c r="L160" s="220"/>
      <c r="M160" s="221"/>
      <c r="N160" s="221"/>
      <c r="O160" s="219"/>
      <c r="P160" s="219"/>
    </row>
    <row r="161" ht="15.75" customHeight="1">
      <c r="A161" s="222"/>
      <c r="B161" s="222"/>
      <c r="C161" s="222"/>
      <c r="D161" s="222"/>
      <c r="E161" s="222"/>
      <c r="F161" s="222"/>
      <c r="G161" s="222"/>
      <c r="H161" s="222"/>
      <c r="I161" s="222"/>
      <c r="J161" s="222"/>
      <c r="K161" s="222"/>
      <c r="L161" s="223"/>
      <c r="M161" s="224"/>
      <c r="N161" s="224"/>
      <c r="O161" s="222"/>
      <c r="P161" s="222"/>
    </row>
    <row r="162" ht="15.75" customHeight="1">
      <c r="A162" s="219"/>
      <c r="B162" s="219"/>
      <c r="C162" s="219"/>
      <c r="D162" s="219"/>
      <c r="E162" s="219"/>
      <c r="F162" s="219"/>
      <c r="G162" s="219"/>
      <c r="H162" s="219"/>
      <c r="I162" s="219"/>
      <c r="J162" s="219"/>
      <c r="K162" s="219"/>
      <c r="L162" s="220"/>
      <c r="M162" s="221"/>
      <c r="N162" s="221"/>
      <c r="O162" s="219"/>
      <c r="P162" s="219"/>
    </row>
    <row r="163" ht="15.75" customHeight="1">
      <c r="A163" s="222"/>
      <c r="B163" s="222"/>
      <c r="C163" s="222"/>
      <c r="D163" s="222"/>
      <c r="E163" s="222"/>
      <c r="F163" s="222"/>
      <c r="G163" s="222"/>
      <c r="H163" s="222"/>
      <c r="I163" s="222"/>
      <c r="J163" s="222"/>
      <c r="K163" s="222"/>
      <c r="L163" s="223"/>
      <c r="M163" s="224"/>
      <c r="N163" s="224"/>
      <c r="O163" s="222"/>
      <c r="P163" s="222"/>
    </row>
    <row r="164" ht="15.75" customHeight="1">
      <c r="A164" s="219"/>
      <c r="B164" s="219"/>
      <c r="C164" s="219"/>
      <c r="D164" s="219"/>
      <c r="E164" s="219"/>
      <c r="F164" s="219"/>
      <c r="G164" s="219"/>
      <c r="H164" s="219"/>
      <c r="I164" s="219"/>
      <c r="J164" s="219"/>
      <c r="K164" s="219"/>
      <c r="L164" s="220"/>
      <c r="M164" s="221"/>
      <c r="N164" s="221"/>
      <c r="O164" s="219"/>
      <c r="P164" s="219"/>
    </row>
    <row r="165" ht="15.75" customHeight="1">
      <c r="A165" s="222"/>
      <c r="B165" s="222"/>
      <c r="C165" s="222"/>
      <c r="D165" s="222"/>
      <c r="E165" s="222"/>
      <c r="F165" s="222"/>
      <c r="G165" s="222"/>
      <c r="H165" s="222"/>
      <c r="I165" s="222"/>
      <c r="J165" s="222"/>
      <c r="K165" s="222"/>
      <c r="L165" s="223"/>
      <c r="M165" s="224"/>
      <c r="N165" s="224"/>
      <c r="O165" s="222"/>
      <c r="P165" s="222"/>
    </row>
    <row r="166" ht="15.75" customHeight="1">
      <c r="A166" s="219"/>
      <c r="B166" s="219"/>
      <c r="C166" s="219"/>
      <c r="D166" s="219"/>
      <c r="E166" s="219"/>
      <c r="F166" s="219"/>
      <c r="G166" s="219"/>
      <c r="H166" s="219"/>
      <c r="I166" s="219"/>
      <c r="J166" s="219"/>
      <c r="K166" s="219"/>
      <c r="L166" s="220"/>
      <c r="M166" s="221"/>
      <c r="N166" s="221"/>
      <c r="O166" s="219"/>
      <c r="P166" s="219"/>
    </row>
    <row r="167" ht="15.75" customHeight="1">
      <c r="A167" s="222"/>
      <c r="B167" s="222"/>
      <c r="C167" s="222"/>
      <c r="D167" s="222"/>
      <c r="E167" s="222"/>
      <c r="F167" s="222"/>
      <c r="G167" s="222"/>
      <c r="H167" s="222"/>
      <c r="I167" s="222"/>
      <c r="J167" s="222"/>
      <c r="K167" s="222"/>
      <c r="L167" s="223"/>
      <c r="M167" s="224"/>
      <c r="N167" s="224"/>
      <c r="O167" s="222"/>
      <c r="P167" s="222"/>
    </row>
    <row r="168" ht="15.75" customHeight="1">
      <c r="A168" s="219"/>
      <c r="B168" s="219"/>
      <c r="C168" s="219"/>
      <c r="D168" s="219"/>
      <c r="E168" s="219"/>
      <c r="F168" s="219"/>
      <c r="G168" s="219"/>
      <c r="H168" s="219"/>
      <c r="I168" s="219"/>
      <c r="J168" s="219"/>
      <c r="K168" s="219"/>
      <c r="L168" s="220"/>
      <c r="M168" s="221"/>
      <c r="N168" s="221"/>
      <c r="O168" s="219"/>
      <c r="P168" s="219"/>
    </row>
    <row r="169" ht="15.75" customHeight="1">
      <c r="A169" s="222"/>
      <c r="B169" s="222"/>
      <c r="C169" s="222"/>
      <c r="D169" s="222"/>
      <c r="E169" s="222"/>
      <c r="F169" s="222"/>
      <c r="G169" s="222"/>
      <c r="H169" s="222"/>
      <c r="I169" s="222"/>
      <c r="J169" s="222"/>
      <c r="K169" s="222"/>
      <c r="L169" s="223"/>
      <c r="M169" s="224"/>
      <c r="N169" s="224"/>
      <c r="O169" s="222"/>
      <c r="P169" s="222"/>
    </row>
    <row r="170" ht="15.75" customHeight="1">
      <c r="A170" s="219"/>
      <c r="B170" s="219"/>
      <c r="C170" s="219"/>
      <c r="D170" s="219"/>
      <c r="E170" s="219"/>
      <c r="F170" s="219"/>
      <c r="G170" s="219"/>
      <c r="H170" s="219"/>
      <c r="I170" s="219"/>
      <c r="J170" s="219"/>
      <c r="K170" s="219"/>
      <c r="L170" s="220"/>
      <c r="M170" s="221"/>
      <c r="N170" s="221"/>
      <c r="O170" s="219"/>
      <c r="P170" s="219"/>
    </row>
    <row r="171" ht="15.75" customHeight="1">
      <c r="A171" s="222"/>
      <c r="B171" s="222"/>
      <c r="C171" s="222"/>
      <c r="D171" s="222"/>
      <c r="E171" s="222"/>
      <c r="F171" s="222"/>
      <c r="G171" s="222"/>
      <c r="H171" s="222"/>
      <c r="I171" s="222"/>
      <c r="J171" s="222"/>
      <c r="K171" s="222"/>
      <c r="L171" s="223"/>
      <c r="M171" s="224"/>
      <c r="N171" s="224"/>
      <c r="O171" s="222"/>
      <c r="P171" s="222"/>
    </row>
    <row r="172" ht="15.75" customHeight="1">
      <c r="A172" s="219"/>
      <c r="B172" s="219"/>
      <c r="C172" s="219"/>
      <c r="D172" s="219"/>
      <c r="E172" s="219"/>
      <c r="F172" s="219"/>
      <c r="G172" s="219"/>
      <c r="H172" s="219"/>
      <c r="I172" s="219"/>
      <c r="J172" s="219"/>
      <c r="K172" s="219"/>
      <c r="L172" s="220"/>
      <c r="M172" s="221"/>
      <c r="N172" s="221"/>
      <c r="O172" s="219"/>
      <c r="P172" s="219"/>
    </row>
    <row r="173" ht="15.75" customHeight="1">
      <c r="A173" s="222"/>
      <c r="B173" s="222"/>
      <c r="C173" s="222"/>
      <c r="D173" s="222"/>
      <c r="E173" s="222"/>
      <c r="F173" s="222"/>
      <c r="G173" s="222"/>
      <c r="H173" s="222"/>
      <c r="I173" s="222"/>
      <c r="J173" s="222"/>
      <c r="K173" s="222"/>
      <c r="L173" s="223"/>
      <c r="M173" s="224"/>
      <c r="N173" s="224"/>
      <c r="O173" s="222"/>
      <c r="P173" s="222"/>
    </row>
    <row r="174" ht="15.75" customHeight="1">
      <c r="A174" s="219"/>
      <c r="B174" s="219"/>
      <c r="C174" s="219"/>
      <c r="D174" s="219"/>
      <c r="E174" s="219"/>
      <c r="F174" s="219"/>
      <c r="G174" s="219"/>
      <c r="H174" s="219"/>
      <c r="I174" s="219"/>
      <c r="J174" s="219"/>
      <c r="K174" s="219"/>
      <c r="L174" s="220"/>
      <c r="M174" s="221"/>
      <c r="N174" s="221"/>
      <c r="O174" s="219"/>
      <c r="P174" s="219"/>
    </row>
    <row r="175" ht="15.75" customHeight="1">
      <c r="A175" s="222"/>
      <c r="B175" s="222"/>
      <c r="C175" s="222"/>
      <c r="D175" s="222"/>
      <c r="E175" s="222"/>
      <c r="F175" s="222"/>
      <c r="G175" s="222"/>
      <c r="H175" s="222"/>
      <c r="I175" s="222"/>
      <c r="J175" s="222"/>
      <c r="K175" s="222"/>
      <c r="L175" s="223"/>
      <c r="M175" s="224"/>
      <c r="N175" s="224"/>
      <c r="O175" s="222"/>
      <c r="P175" s="222"/>
    </row>
    <row r="176" ht="15.75" customHeight="1">
      <c r="A176" s="219"/>
      <c r="B176" s="219"/>
      <c r="C176" s="219"/>
      <c r="D176" s="219"/>
      <c r="E176" s="219"/>
      <c r="F176" s="219"/>
      <c r="G176" s="219"/>
      <c r="H176" s="219"/>
      <c r="I176" s="219"/>
      <c r="J176" s="219"/>
      <c r="K176" s="219"/>
      <c r="L176" s="220"/>
      <c r="M176" s="221"/>
      <c r="N176" s="221"/>
      <c r="O176" s="219"/>
      <c r="P176" s="219"/>
    </row>
    <row r="177" ht="15.75" customHeight="1">
      <c r="A177" s="222"/>
      <c r="B177" s="222"/>
      <c r="C177" s="222"/>
      <c r="D177" s="222"/>
      <c r="E177" s="222"/>
      <c r="F177" s="222"/>
      <c r="G177" s="222"/>
      <c r="H177" s="222"/>
      <c r="I177" s="222"/>
      <c r="J177" s="222"/>
      <c r="K177" s="222"/>
      <c r="L177" s="223"/>
      <c r="M177" s="224"/>
      <c r="N177" s="224"/>
      <c r="O177" s="222"/>
      <c r="P177" s="222"/>
    </row>
    <row r="178" ht="15.75" customHeight="1">
      <c r="A178" s="219"/>
      <c r="B178" s="219"/>
      <c r="C178" s="219"/>
      <c r="D178" s="219"/>
      <c r="E178" s="219"/>
      <c r="F178" s="219"/>
      <c r="G178" s="219"/>
      <c r="H178" s="219"/>
      <c r="I178" s="219"/>
      <c r="J178" s="219"/>
      <c r="K178" s="219"/>
      <c r="L178" s="220"/>
      <c r="M178" s="221"/>
      <c r="N178" s="221"/>
      <c r="O178" s="219"/>
      <c r="P178" s="219"/>
    </row>
    <row r="179" ht="15.75" customHeight="1">
      <c r="A179" s="222"/>
      <c r="B179" s="222"/>
      <c r="C179" s="222"/>
      <c r="D179" s="222"/>
      <c r="E179" s="222"/>
      <c r="F179" s="222"/>
      <c r="G179" s="222"/>
      <c r="H179" s="222"/>
      <c r="I179" s="222"/>
      <c r="J179" s="222"/>
      <c r="K179" s="222"/>
      <c r="L179" s="223"/>
      <c r="M179" s="224"/>
      <c r="N179" s="224"/>
      <c r="O179" s="222"/>
      <c r="P179" s="222"/>
    </row>
    <row r="180" ht="15.75" customHeight="1">
      <c r="A180" s="219"/>
      <c r="B180" s="219"/>
      <c r="C180" s="219"/>
      <c r="D180" s="219"/>
      <c r="E180" s="219"/>
      <c r="F180" s="219"/>
      <c r="G180" s="219"/>
      <c r="H180" s="219"/>
      <c r="I180" s="219"/>
      <c r="J180" s="219"/>
      <c r="K180" s="219"/>
      <c r="L180" s="220"/>
      <c r="M180" s="221"/>
      <c r="N180" s="221"/>
      <c r="O180" s="219"/>
      <c r="P180" s="219"/>
    </row>
    <row r="181" ht="15.75" customHeight="1">
      <c r="A181" s="222"/>
      <c r="B181" s="222"/>
      <c r="C181" s="222"/>
      <c r="D181" s="222"/>
      <c r="E181" s="222"/>
      <c r="F181" s="222"/>
      <c r="G181" s="222"/>
      <c r="H181" s="222"/>
      <c r="I181" s="222"/>
      <c r="J181" s="222"/>
      <c r="K181" s="222"/>
      <c r="L181" s="223"/>
      <c r="M181" s="224"/>
      <c r="N181" s="224"/>
      <c r="O181" s="222"/>
      <c r="P181" s="222"/>
    </row>
    <row r="182" ht="15.75" customHeight="1">
      <c r="A182" s="219"/>
      <c r="B182" s="219"/>
      <c r="C182" s="219"/>
      <c r="D182" s="219"/>
      <c r="E182" s="219"/>
      <c r="F182" s="219"/>
      <c r="G182" s="219"/>
      <c r="H182" s="219"/>
      <c r="I182" s="219"/>
      <c r="J182" s="219"/>
      <c r="K182" s="219"/>
      <c r="L182" s="220"/>
      <c r="M182" s="221"/>
      <c r="N182" s="221"/>
      <c r="O182" s="219"/>
      <c r="P182" s="219"/>
    </row>
    <row r="183" ht="15.75" customHeight="1">
      <c r="A183" s="222"/>
      <c r="B183" s="222"/>
      <c r="C183" s="222"/>
      <c r="D183" s="222"/>
      <c r="E183" s="222"/>
      <c r="F183" s="222"/>
      <c r="G183" s="222"/>
      <c r="H183" s="222"/>
      <c r="I183" s="222"/>
      <c r="J183" s="222"/>
      <c r="K183" s="222"/>
      <c r="L183" s="223"/>
      <c r="M183" s="224"/>
      <c r="N183" s="224"/>
      <c r="O183" s="222"/>
      <c r="P183" s="222"/>
    </row>
    <row r="184" ht="15.75" customHeight="1">
      <c r="A184" s="219"/>
      <c r="B184" s="219"/>
      <c r="C184" s="219"/>
      <c r="D184" s="219"/>
      <c r="E184" s="219"/>
      <c r="F184" s="219"/>
      <c r="G184" s="219"/>
      <c r="H184" s="219"/>
      <c r="I184" s="219"/>
      <c r="J184" s="219"/>
      <c r="K184" s="219"/>
      <c r="L184" s="220"/>
      <c r="M184" s="221"/>
      <c r="N184" s="221"/>
      <c r="O184" s="219"/>
      <c r="P184" s="219"/>
    </row>
    <row r="185" ht="15.75" customHeight="1">
      <c r="A185" s="222"/>
      <c r="B185" s="222"/>
      <c r="C185" s="222"/>
      <c r="D185" s="222"/>
      <c r="E185" s="222"/>
      <c r="F185" s="222"/>
      <c r="G185" s="222"/>
      <c r="H185" s="222"/>
      <c r="I185" s="222"/>
      <c r="J185" s="222"/>
      <c r="K185" s="222"/>
      <c r="L185" s="223"/>
      <c r="M185" s="224"/>
      <c r="N185" s="224"/>
      <c r="O185" s="222"/>
      <c r="P185" s="222"/>
    </row>
    <row r="186" ht="15.75" customHeight="1">
      <c r="A186" s="219"/>
      <c r="B186" s="219"/>
      <c r="C186" s="219"/>
      <c r="D186" s="219"/>
      <c r="E186" s="219"/>
      <c r="F186" s="219"/>
      <c r="G186" s="219"/>
      <c r="H186" s="219"/>
      <c r="I186" s="219"/>
      <c r="J186" s="219"/>
      <c r="K186" s="219"/>
      <c r="L186" s="220"/>
      <c r="M186" s="221"/>
      <c r="N186" s="221"/>
      <c r="O186" s="219"/>
      <c r="P186" s="219"/>
    </row>
    <row r="187" ht="15.75" customHeight="1">
      <c r="A187" s="222"/>
      <c r="B187" s="222"/>
      <c r="C187" s="222"/>
      <c r="D187" s="222"/>
      <c r="E187" s="222"/>
      <c r="F187" s="222"/>
      <c r="G187" s="222"/>
      <c r="H187" s="222"/>
      <c r="I187" s="222"/>
      <c r="J187" s="222"/>
      <c r="K187" s="222"/>
      <c r="L187" s="223"/>
      <c r="M187" s="224"/>
      <c r="N187" s="224"/>
      <c r="O187" s="222"/>
      <c r="P187" s="222"/>
    </row>
    <row r="188" ht="15.75" customHeight="1">
      <c r="A188" s="219"/>
      <c r="B188" s="219"/>
      <c r="C188" s="219"/>
      <c r="D188" s="219"/>
      <c r="E188" s="219"/>
      <c r="F188" s="219"/>
      <c r="G188" s="219"/>
      <c r="H188" s="219"/>
      <c r="I188" s="219"/>
      <c r="J188" s="219"/>
      <c r="K188" s="219"/>
      <c r="L188" s="220"/>
      <c r="M188" s="221"/>
      <c r="N188" s="221"/>
      <c r="O188" s="219"/>
      <c r="P188" s="219"/>
    </row>
    <row r="189" ht="15.75" customHeight="1">
      <c r="A189" s="222"/>
      <c r="B189" s="222"/>
      <c r="C189" s="222"/>
      <c r="D189" s="222"/>
      <c r="E189" s="222"/>
      <c r="F189" s="222"/>
      <c r="G189" s="222"/>
      <c r="H189" s="222"/>
      <c r="I189" s="222"/>
      <c r="J189" s="222"/>
      <c r="K189" s="222"/>
      <c r="L189" s="223"/>
      <c r="M189" s="224"/>
      <c r="N189" s="224"/>
      <c r="O189" s="222"/>
      <c r="P189" s="222"/>
    </row>
    <row r="190" ht="15.75" customHeight="1">
      <c r="A190" s="219"/>
      <c r="B190" s="219"/>
      <c r="C190" s="219"/>
      <c r="D190" s="219"/>
      <c r="E190" s="219"/>
      <c r="F190" s="219"/>
      <c r="G190" s="219"/>
      <c r="H190" s="219"/>
      <c r="I190" s="219"/>
      <c r="J190" s="219"/>
      <c r="K190" s="219"/>
      <c r="L190" s="220"/>
      <c r="M190" s="221"/>
      <c r="N190" s="221"/>
      <c r="O190" s="219"/>
      <c r="P190" s="219"/>
    </row>
    <row r="191" ht="15.75" customHeight="1">
      <c r="A191" s="222"/>
      <c r="B191" s="222"/>
      <c r="C191" s="222"/>
      <c r="D191" s="222"/>
      <c r="E191" s="222"/>
      <c r="F191" s="222"/>
      <c r="G191" s="222"/>
      <c r="H191" s="222"/>
      <c r="I191" s="222"/>
      <c r="J191" s="222"/>
      <c r="K191" s="222"/>
      <c r="L191" s="223"/>
      <c r="M191" s="224"/>
      <c r="N191" s="224"/>
      <c r="O191" s="222"/>
      <c r="P191" s="222"/>
    </row>
    <row r="192" ht="15.75" customHeight="1">
      <c r="A192" s="219"/>
      <c r="B192" s="219"/>
      <c r="C192" s="219"/>
      <c r="D192" s="219"/>
      <c r="E192" s="219"/>
      <c r="F192" s="219"/>
      <c r="G192" s="219"/>
      <c r="H192" s="219"/>
      <c r="I192" s="219"/>
      <c r="J192" s="219"/>
      <c r="K192" s="219"/>
      <c r="L192" s="220"/>
      <c r="M192" s="221"/>
      <c r="N192" s="221"/>
      <c r="O192" s="219"/>
      <c r="P192" s="219"/>
    </row>
    <row r="193" ht="15.75" customHeight="1">
      <c r="A193" s="222"/>
      <c r="B193" s="222"/>
      <c r="C193" s="222"/>
      <c r="D193" s="222"/>
      <c r="E193" s="222"/>
      <c r="F193" s="222"/>
      <c r="G193" s="222"/>
      <c r="H193" s="222"/>
      <c r="I193" s="222"/>
      <c r="J193" s="222"/>
      <c r="K193" s="222"/>
      <c r="L193" s="223"/>
      <c r="M193" s="224"/>
      <c r="N193" s="224"/>
      <c r="O193" s="222"/>
      <c r="P193" s="222"/>
    </row>
    <row r="194" ht="15.75" customHeight="1">
      <c r="A194" s="219"/>
      <c r="B194" s="219"/>
      <c r="C194" s="219"/>
      <c r="D194" s="219"/>
      <c r="E194" s="219"/>
      <c r="F194" s="219"/>
      <c r="G194" s="219"/>
      <c r="H194" s="219"/>
      <c r="I194" s="219"/>
      <c r="J194" s="219"/>
      <c r="K194" s="219"/>
      <c r="L194" s="220"/>
      <c r="M194" s="221"/>
      <c r="N194" s="221"/>
      <c r="O194" s="219"/>
      <c r="P194" s="219"/>
    </row>
    <row r="195" ht="15.75" customHeight="1">
      <c r="A195" s="222"/>
      <c r="B195" s="222"/>
      <c r="C195" s="222"/>
      <c r="D195" s="222"/>
      <c r="E195" s="222"/>
      <c r="F195" s="222"/>
      <c r="G195" s="222"/>
      <c r="H195" s="222"/>
      <c r="I195" s="222"/>
      <c r="J195" s="222"/>
      <c r="K195" s="222"/>
      <c r="L195" s="223"/>
      <c r="M195" s="224"/>
      <c r="N195" s="224"/>
      <c r="O195" s="222"/>
      <c r="P195" s="222"/>
    </row>
    <row r="196" ht="15.75" customHeight="1">
      <c r="A196" s="219"/>
      <c r="B196" s="219"/>
      <c r="C196" s="219"/>
      <c r="D196" s="219"/>
      <c r="E196" s="219"/>
      <c r="F196" s="219"/>
      <c r="G196" s="219"/>
      <c r="H196" s="219"/>
      <c r="I196" s="219"/>
      <c r="J196" s="219"/>
      <c r="K196" s="219"/>
      <c r="L196" s="220"/>
      <c r="M196" s="221"/>
      <c r="N196" s="221"/>
      <c r="O196" s="219"/>
      <c r="P196" s="219"/>
    </row>
    <row r="197" ht="15.75" customHeight="1">
      <c r="A197" s="222"/>
      <c r="B197" s="222"/>
      <c r="C197" s="222"/>
      <c r="D197" s="222"/>
      <c r="E197" s="222"/>
      <c r="F197" s="222"/>
      <c r="G197" s="222"/>
      <c r="H197" s="222"/>
      <c r="I197" s="222"/>
      <c r="J197" s="222"/>
      <c r="K197" s="222"/>
      <c r="L197" s="223"/>
      <c r="M197" s="224"/>
      <c r="N197" s="224"/>
      <c r="O197" s="222"/>
      <c r="P197" s="222"/>
    </row>
    <row r="198" ht="15.75" customHeight="1">
      <c r="A198" s="219"/>
      <c r="B198" s="219"/>
      <c r="C198" s="219"/>
      <c r="D198" s="219"/>
      <c r="E198" s="219"/>
      <c r="F198" s="219"/>
      <c r="G198" s="219"/>
      <c r="H198" s="219"/>
      <c r="I198" s="219"/>
      <c r="J198" s="219"/>
      <c r="K198" s="219"/>
      <c r="L198" s="220"/>
      <c r="M198" s="221"/>
      <c r="N198" s="221"/>
      <c r="O198" s="219"/>
      <c r="P198" s="219"/>
    </row>
    <row r="199" ht="15.75" customHeight="1">
      <c r="A199" s="222"/>
      <c r="B199" s="222"/>
      <c r="C199" s="222"/>
      <c r="D199" s="222"/>
      <c r="E199" s="222"/>
      <c r="F199" s="222"/>
      <c r="G199" s="222"/>
      <c r="H199" s="222"/>
      <c r="I199" s="222"/>
      <c r="J199" s="222"/>
      <c r="K199" s="222"/>
      <c r="L199" s="223"/>
      <c r="M199" s="224"/>
      <c r="N199" s="224"/>
      <c r="O199" s="222"/>
      <c r="P199" s="222"/>
    </row>
    <row r="200" ht="15.75" customHeight="1">
      <c r="A200" s="219"/>
      <c r="B200" s="219"/>
      <c r="C200" s="219"/>
      <c r="D200" s="219"/>
      <c r="E200" s="219"/>
      <c r="F200" s="219"/>
      <c r="G200" s="219"/>
      <c r="H200" s="219"/>
      <c r="I200" s="219"/>
      <c r="J200" s="219"/>
      <c r="K200" s="219"/>
      <c r="L200" s="220"/>
      <c r="M200" s="221"/>
      <c r="N200" s="221"/>
      <c r="O200" s="219"/>
      <c r="P200" s="219"/>
    </row>
    <row r="201" ht="15.75" customHeight="1">
      <c r="A201" s="222"/>
      <c r="B201" s="222"/>
      <c r="C201" s="222"/>
      <c r="D201" s="222"/>
      <c r="E201" s="222"/>
      <c r="F201" s="222"/>
      <c r="G201" s="222"/>
      <c r="H201" s="222"/>
      <c r="I201" s="222"/>
      <c r="J201" s="222"/>
      <c r="K201" s="222"/>
      <c r="L201" s="223"/>
      <c r="M201" s="224"/>
      <c r="N201" s="224"/>
      <c r="O201" s="222"/>
      <c r="P201" s="222"/>
    </row>
    <row r="202" ht="15.75" customHeight="1">
      <c r="A202" s="219"/>
      <c r="B202" s="219"/>
      <c r="C202" s="219"/>
      <c r="D202" s="219"/>
      <c r="E202" s="219"/>
      <c r="F202" s="219"/>
      <c r="G202" s="219"/>
      <c r="H202" s="219"/>
      <c r="I202" s="219"/>
      <c r="J202" s="219"/>
      <c r="K202" s="219"/>
      <c r="L202" s="220"/>
      <c r="M202" s="221"/>
      <c r="N202" s="221"/>
      <c r="O202" s="219"/>
      <c r="P202" s="219"/>
    </row>
    <row r="203" ht="15.75" customHeight="1">
      <c r="A203" s="222"/>
      <c r="B203" s="222"/>
      <c r="C203" s="222"/>
      <c r="D203" s="222"/>
      <c r="E203" s="222"/>
      <c r="F203" s="222"/>
      <c r="G203" s="222"/>
      <c r="H203" s="222"/>
      <c r="I203" s="222"/>
      <c r="J203" s="222"/>
      <c r="K203" s="222"/>
      <c r="L203" s="223"/>
      <c r="M203" s="224"/>
      <c r="N203" s="224"/>
      <c r="O203" s="222"/>
      <c r="P203" s="222"/>
    </row>
    <row r="204" ht="15.75" customHeight="1">
      <c r="A204" s="219"/>
      <c r="B204" s="219"/>
      <c r="C204" s="219"/>
      <c r="D204" s="219"/>
      <c r="E204" s="219"/>
      <c r="F204" s="219"/>
      <c r="G204" s="219"/>
      <c r="H204" s="219"/>
      <c r="I204" s="219"/>
      <c r="J204" s="219"/>
      <c r="K204" s="219"/>
      <c r="L204" s="220"/>
      <c r="M204" s="221"/>
      <c r="N204" s="221"/>
      <c r="O204" s="219"/>
      <c r="P204" s="219"/>
    </row>
    <row r="205" ht="15.75" customHeight="1">
      <c r="A205" s="222"/>
      <c r="B205" s="222"/>
      <c r="C205" s="222"/>
      <c r="D205" s="222"/>
      <c r="E205" s="222"/>
      <c r="F205" s="222"/>
      <c r="G205" s="222"/>
      <c r="H205" s="222"/>
      <c r="I205" s="222"/>
      <c r="J205" s="222"/>
      <c r="K205" s="222"/>
      <c r="L205" s="223"/>
      <c r="M205" s="224"/>
      <c r="N205" s="224"/>
      <c r="O205" s="222"/>
      <c r="P205" s="222"/>
    </row>
    <row r="206" ht="15.75" customHeight="1">
      <c r="A206" s="219"/>
      <c r="B206" s="219"/>
      <c r="C206" s="219"/>
      <c r="D206" s="219"/>
      <c r="E206" s="219"/>
      <c r="F206" s="219"/>
      <c r="G206" s="219"/>
      <c r="H206" s="219"/>
      <c r="I206" s="219"/>
      <c r="J206" s="219"/>
      <c r="K206" s="219"/>
      <c r="L206" s="220"/>
      <c r="M206" s="221"/>
      <c r="N206" s="221"/>
      <c r="O206" s="219"/>
      <c r="P206" s="219"/>
    </row>
    <row r="207" ht="15.75" customHeight="1">
      <c r="A207" s="222"/>
      <c r="B207" s="222"/>
      <c r="C207" s="222"/>
      <c r="D207" s="222"/>
      <c r="E207" s="222"/>
      <c r="F207" s="222"/>
      <c r="G207" s="222"/>
      <c r="H207" s="222"/>
      <c r="I207" s="222"/>
      <c r="J207" s="222"/>
      <c r="K207" s="222"/>
      <c r="L207" s="223"/>
      <c r="M207" s="224"/>
      <c r="N207" s="224"/>
      <c r="O207" s="222"/>
      <c r="P207" s="222"/>
    </row>
    <row r="208" ht="15.75" customHeight="1">
      <c r="A208" s="219"/>
      <c r="B208" s="219"/>
      <c r="C208" s="219"/>
      <c r="D208" s="219"/>
      <c r="E208" s="219"/>
      <c r="F208" s="219"/>
      <c r="G208" s="219"/>
      <c r="H208" s="219"/>
      <c r="I208" s="219"/>
      <c r="J208" s="219"/>
      <c r="K208" s="219"/>
      <c r="L208" s="220"/>
      <c r="M208" s="221"/>
      <c r="N208" s="221"/>
      <c r="O208" s="219"/>
      <c r="P208" s="219"/>
    </row>
    <row r="209" ht="15.75" customHeight="1">
      <c r="A209" s="222"/>
      <c r="B209" s="222"/>
      <c r="C209" s="222"/>
      <c r="D209" s="222"/>
      <c r="E209" s="222"/>
      <c r="F209" s="222"/>
      <c r="G209" s="222"/>
      <c r="H209" s="222"/>
      <c r="I209" s="222"/>
      <c r="J209" s="222"/>
      <c r="K209" s="222"/>
      <c r="L209" s="223"/>
      <c r="M209" s="224"/>
      <c r="N209" s="224"/>
      <c r="O209" s="222"/>
      <c r="P209" s="222"/>
    </row>
    <row r="210" ht="15.75" customHeight="1">
      <c r="A210" s="219"/>
      <c r="B210" s="219"/>
      <c r="C210" s="219"/>
      <c r="D210" s="219"/>
      <c r="E210" s="219"/>
      <c r="F210" s="219"/>
      <c r="G210" s="219"/>
      <c r="H210" s="219"/>
      <c r="I210" s="219"/>
      <c r="J210" s="219"/>
      <c r="K210" s="219"/>
      <c r="L210" s="220"/>
      <c r="M210" s="221"/>
      <c r="N210" s="221"/>
      <c r="O210" s="219"/>
      <c r="P210" s="219"/>
    </row>
    <row r="211" ht="15.75" customHeight="1">
      <c r="A211" s="222"/>
      <c r="B211" s="222"/>
      <c r="C211" s="222"/>
      <c r="D211" s="222"/>
      <c r="E211" s="222"/>
      <c r="F211" s="222"/>
      <c r="G211" s="222"/>
      <c r="H211" s="222"/>
      <c r="I211" s="222"/>
      <c r="J211" s="222"/>
      <c r="K211" s="222"/>
      <c r="L211" s="223"/>
      <c r="M211" s="224"/>
      <c r="N211" s="224"/>
      <c r="O211" s="222"/>
      <c r="P211" s="222"/>
    </row>
    <row r="212" ht="15.75" customHeight="1">
      <c r="A212" s="219"/>
      <c r="B212" s="219"/>
      <c r="C212" s="219"/>
      <c r="D212" s="219"/>
      <c r="E212" s="219"/>
      <c r="F212" s="219"/>
      <c r="G212" s="219"/>
      <c r="H212" s="219"/>
      <c r="I212" s="219"/>
      <c r="J212" s="219"/>
      <c r="K212" s="219"/>
      <c r="L212" s="220"/>
      <c r="M212" s="221"/>
      <c r="N212" s="221"/>
      <c r="O212" s="219"/>
      <c r="P212" s="219"/>
    </row>
    <row r="213" ht="15.75" customHeight="1">
      <c r="A213" s="222"/>
      <c r="B213" s="222"/>
      <c r="C213" s="222"/>
      <c r="D213" s="222"/>
      <c r="E213" s="222"/>
      <c r="F213" s="222"/>
      <c r="G213" s="222"/>
      <c r="H213" s="222"/>
      <c r="I213" s="222"/>
      <c r="J213" s="222"/>
      <c r="K213" s="222"/>
      <c r="L213" s="223"/>
      <c r="M213" s="224"/>
      <c r="N213" s="224"/>
      <c r="O213" s="222"/>
      <c r="P213" s="222"/>
    </row>
    <row r="214" ht="15.75" customHeight="1">
      <c r="A214" s="219"/>
      <c r="B214" s="219"/>
      <c r="C214" s="219"/>
      <c r="D214" s="219"/>
      <c r="E214" s="219"/>
      <c r="F214" s="219"/>
      <c r="G214" s="219"/>
      <c r="H214" s="219"/>
      <c r="I214" s="219"/>
      <c r="J214" s="219"/>
      <c r="K214" s="219"/>
      <c r="L214" s="220"/>
      <c r="M214" s="221"/>
      <c r="N214" s="221"/>
      <c r="O214" s="219"/>
      <c r="P214" s="219"/>
    </row>
    <row r="215" ht="15.75" customHeight="1">
      <c r="A215" s="222"/>
      <c r="B215" s="222"/>
      <c r="C215" s="222"/>
      <c r="D215" s="222"/>
      <c r="E215" s="222"/>
      <c r="F215" s="222"/>
      <c r="G215" s="222"/>
      <c r="H215" s="222"/>
      <c r="I215" s="222"/>
      <c r="J215" s="222"/>
      <c r="K215" s="222"/>
      <c r="L215" s="223"/>
      <c r="M215" s="224"/>
      <c r="N215" s="224"/>
      <c r="O215" s="222"/>
      <c r="P215" s="222"/>
    </row>
    <row r="216" ht="15.75" customHeight="1">
      <c r="A216" s="219"/>
      <c r="B216" s="219"/>
      <c r="C216" s="219"/>
      <c r="D216" s="219"/>
      <c r="E216" s="219"/>
      <c r="F216" s="219"/>
      <c r="G216" s="219"/>
      <c r="H216" s="219"/>
      <c r="I216" s="219"/>
      <c r="J216" s="219"/>
      <c r="K216" s="219"/>
      <c r="L216" s="220"/>
      <c r="M216" s="221"/>
      <c r="N216" s="221"/>
      <c r="O216" s="219"/>
      <c r="P216" s="219"/>
    </row>
    <row r="217" ht="15.75" customHeight="1">
      <c r="A217" s="222"/>
      <c r="B217" s="222"/>
      <c r="C217" s="222"/>
      <c r="D217" s="222"/>
      <c r="E217" s="222"/>
      <c r="F217" s="222"/>
      <c r="G217" s="222"/>
      <c r="H217" s="222"/>
      <c r="I217" s="222"/>
      <c r="J217" s="222"/>
      <c r="K217" s="222"/>
      <c r="L217" s="223"/>
      <c r="M217" s="224"/>
      <c r="N217" s="224"/>
      <c r="O217" s="222"/>
      <c r="P217" s="222"/>
    </row>
    <row r="218" ht="15.75" customHeight="1">
      <c r="A218" s="219"/>
      <c r="B218" s="219"/>
      <c r="C218" s="219"/>
      <c r="D218" s="219"/>
      <c r="E218" s="219"/>
      <c r="F218" s="219"/>
      <c r="G218" s="219"/>
      <c r="H218" s="219"/>
      <c r="I218" s="219"/>
      <c r="J218" s="219"/>
      <c r="K218" s="219"/>
      <c r="L218" s="220"/>
      <c r="M218" s="221"/>
      <c r="N218" s="221"/>
      <c r="O218" s="219"/>
      <c r="P218" s="219"/>
    </row>
    <row r="219" ht="15.75" customHeight="1">
      <c r="A219" s="222"/>
      <c r="B219" s="222"/>
      <c r="C219" s="222"/>
      <c r="D219" s="222"/>
      <c r="E219" s="222"/>
      <c r="F219" s="222"/>
      <c r="G219" s="222"/>
      <c r="H219" s="222"/>
      <c r="I219" s="222"/>
      <c r="J219" s="222"/>
      <c r="K219" s="222"/>
      <c r="L219" s="223"/>
      <c r="M219" s="224"/>
      <c r="N219" s="224"/>
      <c r="O219" s="222"/>
      <c r="P219" s="222"/>
    </row>
    <row r="220" ht="15.75" customHeight="1">
      <c r="A220" s="219"/>
      <c r="B220" s="219"/>
      <c r="C220" s="219"/>
      <c r="D220" s="219"/>
      <c r="E220" s="219"/>
      <c r="F220" s="219"/>
      <c r="G220" s="219"/>
      <c r="H220" s="219"/>
      <c r="I220" s="219"/>
      <c r="J220" s="219"/>
      <c r="K220" s="219"/>
      <c r="L220" s="220"/>
      <c r="M220" s="221"/>
      <c r="N220" s="221"/>
      <c r="O220" s="219"/>
      <c r="P220" s="219"/>
    </row>
    <row r="221" ht="15.75" customHeight="1">
      <c r="A221" s="222"/>
      <c r="B221" s="222"/>
      <c r="C221" s="222"/>
      <c r="D221" s="222"/>
      <c r="E221" s="222"/>
      <c r="F221" s="222"/>
      <c r="G221" s="222"/>
      <c r="H221" s="222"/>
      <c r="I221" s="222"/>
      <c r="J221" s="222"/>
      <c r="K221" s="222"/>
      <c r="L221" s="223"/>
      <c r="M221" s="224"/>
      <c r="N221" s="224"/>
      <c r="O221" s="222"/>
      <c r="P221" s="222"/>
    </row>
    <row r="222" ht="15.75" customHeight="1">
      <c r="A222" s="219"/>
      <c r="B222" s="219"/>
      <c r="C222" s="219"/>
      <c r="D222" s="219"/>
      <c r="E222" s="219"/>
      <c r="F222" s="219"/>
      <c r="G222" s="219"/>
      <c r="H222" s="219"/>
      <c r="I222" s="219"/>
      <c r="J222" s="219"/>
      <c r="K222" s="219"/>
      <c r="L222" s="220"/>
      <c r="M222" s="221"/>
      <c r="N222" s="221"/>
      <c r="O222" s="219"/>
      <c r="P222" s="219"/>
    </row>
    <row r="223" ht="15.75" customHeight="1">
      <c r="A223" s="222"/>
      <c r="B223" s="222"/>
      <c r="C223" s="222"/>
      <c r="D223" s="222"/>
      <c r="E223" s="222"/>
      <c r="F223" s="222"/>
      <c r="G223" s="222"/>
      <c r="H223" s="222"/>
      <c r="I223" s="222"/>
      <c r="J223" s="222"/>
      <c r="K223" s="222"/>
      <c r="L223" s="223"/>
      <c r="M223" s="224"/>
      <c r="N223" s="224"/>
      <c r="O223" s="222"/>
      <c r="P223" s="222"/>
    </row>
    <row r="224" ht="15.75" customHeight="1">
      <c r="A224" s="219"/>
      <c r="B224" s="219"/>
      <c r="C224" s="219"/>
      <c r="D224" s="219"/>
      <c r="E224" s="219"/>
      <c r="F224" s="219"/>
      <c r="G224" s="219"/>
      <c r="H224" s="219"/>
      <c r="I224" s="219"/>
      <c r="J224" s="219"/>
      <c r="K224" s="219"/>
      <c r="L224" s="220"/>
      <c r="M224" s="221"/>
      <c r="N224" s="221"/>
      <c r="O224" s="219"/>
      <c r="P224" s="219"/>
    </row>
    <row r="225" ht="15.75" customHeight="1">
      <c r="A225" s="222"/>
      <c r="B225" s="222"/>
      <c r="C225" s="222"/>
      <c r="D225" s="222"/>
      <c r="E225" s="222"/>
      <c r="F225" s="222"/>
      <c r="G225" s="222"/>
      <c r="H225" s="222"/>
      <c r="I225" s="222"/>
      <c r="J225" s="222"/>
      <c r="K225" s="222"/>
      <c r="L225" s="223"/>
      <c r="M225" s="224"/>
      <c r="N225" s="224"/>
      <c r="O225" s="222"/>
      <c r="P225" s="222"/>
    </row>
    <row r="226" ht="15.75" customHeight="1">
      <c r="A226" s="219"/>
      <c r="B226" s="219"/>
      <c r="C226" s="219"/>
      <c r="D226" s="219"/>
      <c r="E226" s="219"/>
      <c r="F226" s="219"/>
      <c r="G226" s="219"/>
      <c r="H226" s="219"/>
      <c r="I226" s="219"/>
      <c r="J226" s="219"/>
      <c r="K226" s="219"/>
      <c r="L226" s="220"/>
      <c r="M226" s="221"/>
      <c r="N226" s="221"/>
      <c r="O226" s="219"/>
      <c r="P226" s="219"/>
    </row>
    <row r="227" ht="15.75" customHeight="1">
      <c r="A227" s="222"/>
      <c r="B227" s="222"/>
      <c r="C227" s="222"/>
      <c r="D227" s="222"/>
      <c r="E227" s="222"/>
      <c r="F227" s="222"/>
      <c r="G227" s="222"/>
      <c r="H227" s="222"/>
      <c r="I227" s="222"/>
      <c r="J227" s="222"/>
      <c r="K227" s="222"/>
      <c r="L227" s="223"/>
      <c r="M227" s="224"/>
      <c r="N227" s="224"/>
      <c r="O227" s="222"/>
      <c r="P227" s="222"/>
    </row>
    <row r="228" ht="15.75" customHeight="1">
      <c r="A228" s="219"/>
      <c r="B228" s="219"/>
      <c r="C228" s="219"/>
      <c r="D228" s="219"/>
      <c r="E228" s="219"/>
      <c r="F228" s="219"/>
      <c r="G228" s="219"/>
      <c r="H228" s="219"/>
      <c r="I228" s="219"/>
      <c r="J228" s="219"/>
      <c r="K228" s="219"/>
      <c r="L228" s="220"/>
      <c r="M228" s="221"/>
      <c r="N228" s="221"/>
      <c r="O228" s="219"/>
      <c r="P228" s="219"/>
    </row>
    <row r="229" ht="15.75" customHeight="1">
      <c r="A229" s="222"/>
      <c r="B229" s="222"/>
      <c r="C229" s="222"/>
      <c r="D229" s="222"/>
      <c r="E229" s="222"/>
      <c r="F229" s="222"/>
      <c r="G229" s="222"/>
      <c r="H229" s="222"/>
      <c r="I229" s="222"/>
      <c r="J229" s="222"/>
      <c r="K229" s="222"/>
      <c r="L229" s="223"/>
      <c r="M229" s="224"/>
      <c r="N229" s="224"/>
      <c r="O229" s="222"/>
      <c r="P229" s="222"/>
    </row>
    <row r="230" ht="15.75" customHeight="1">
      <c r="A230" s="219"/>
      <c r="B230" s="219"/>
      <c r="C230" s="219"/>
      <c r="D230" s="219"/>
      <c r="E230" s="219"/>
      <c r="F230" s="219"/>
      <c r="G230" s="219"/>
      <c r="H230" s="219"/>
      <c r="I230" s="219"/>
      <c r="J230" s="219"/>
      <c r="K230" s="219"/>
      <c r="L230" s="220"/>
      <c r="M230" s="221"/>
      <c r="N230" s="221"/>
      <c r="O230" s="219"/>
      <c r="P230" s="219"/>
    </row>
    <row r="231" ht="15.75" customHeight="1">
      <c r="A231" s="222"/>
      <c r="B231" s="222"/>
      <c r="C231" s="222"/>
      <c r="D231" s="222"/>
      <c r="E231" s="222"/>
      <c r="F231" s="222"/>
      <c r="G231" s="222"/>
      <c r="H231" s="222"/>
      <c r="I231" s="222"/>
      <c r="J231" s="222"/>
      <c r="K231" s="222"/>
      <c r="L231" s="223"/>
      <c r="M231" s="224"/>
      <c r="N231" s="224"/>
      <c r="O231" s="222"/>
      <c r="P231" s="222"/>
    </row>
    <row r="232" ht="15.75" customHeight="1">
      <c r="A232" s="219"/>
      <c r="B232" s="219"/>
      <c r="C232" s="219"/>
      <c r="D232" s="219"/>
      <c r="E232" s="219"/>
      <c r="F232" s="219"/>
      <c r="G232" s="219"/>
      <c r="H232" s="219"/>
      <c r="I232" s="219"/>
      <c r="J232" s="219"/>
      <c r="K232" s="219"/>
      <c r="L232" s="220"/>
      <c r="M232" s="221"/>
      <c r="N232" s="221"/>
      <c r="O232" s="219"/>
      <c r="P232" s="219"/>
    </row>
    <row r="233" ht="15.75" customHeight="1">
      <c r="A233" s="222"/>
      <c r="B233" s="222"/>
      <c r="C233" s="222"/>
      <c r="D233" s="222"/>
      <c r="E233" s="222"/>
      <c r="F233" s="222"/>
      <c r="G233" s="222"/>
      <c r="H233" s="222"/>
      <c r="I233" s="222"/>
      <c r="J233" s="222"/>
      <c r="K233" s="222"/>
      <c r="L233" s="223"/>
      <c r="M233" s="224"/>
      <c r="N233" s="224"/>
      <c r="O233" s="222"/>
      <c r="P233" s="222"/>
    </row>
    <row r="234" ht="15.75" customHeight="1">
      <c r="A234" s="219"/>
      <c r="B234" s="219"/>
      <c r="C234" s="219"/>
      <c r="D234" s="219"/>
      <c r="E234" s="219"/>
      <c r="F234" s="219"/>
      <c r="G234" s="219"/>
      <c r="H234" s="219"/>
      <c r="I234" s="219"/>
      <c r="J234" s="219"/>
      <c r="K234" s="219"/>
      <c r="L234" s="220"/>
      <c r="M234" s="221"/>
      <c r="N234" s="221"/>
      <c r="O234" s="219"/>
      <c r="P234" s="219"/>
    </row>
    <row r="235" ht="15.75" customHeight="1">
      <c r="A235" s="222"/>
      <c r="B235" s="222"/>
      <c r="C235" s="222"/>
      <c r="D235" s="222"/>
      <c r="E235" s="222"/>
      <c r="F235" s="222"/>
      <c r="G235" s="222"/>
      <c r="H235" s="222"/>
      <c r="I235" s="222"/>
      <c r="J235" s="222"/>
      <c r="K235" s="222"/>
      <c r="L235" s="223"/>
      <c r="M235" s="224"/>
      <c r="N235" s="224"/>
      <c r="O235" s="222"/>
      <c r="P235" s="222"/>
    </row>
    <row r="236" ht="15.75" customHeight="1">
      <c r="A236" s="219"/>
      <c r="B236" s="219"/>
      <c r="C236" s="219"/>
      <c r="D236" s="219"/>
      <c r="E236" s="219"/>
      <c r="F236" s="219"/>
      <c r="G236" s="219"/>
      <c r="H236" s="219"/>
      <c r="I236" s="219"/>
      <c r="J236" s="219"/>
      <c r="K236" s="219"/>
      <c r="L236" s="220"/>
      <c r="M236" s="221"/>
      <c r="N236" s="221"/>
      <c r="O236" s="219"/>
      <c r="P236" s="219"/>
    </row>
    <row r="237" ht="15.75" customHeight="1">
      <c r="A237" s="222"/>
      <c r="B237" s="222"/>
      <c r="C237" s="222"/>
      <c r="D237" s="222"/>
      <c r="E237" s="222"/>
      <c r="F237" s="222"/>
      <c r="G237" s="222"/>
      <c r="H237" s="222"/>
      <c r="I237" s="222"/>
      <c r="J237" s="222"/>
      <c r="K237" s="222"/>
      <c r="L237" s="223"/>
      <c r="M237" s="224"/>
      <c r="N237" s="224"/>
      <c r="O237" s="222"/>
      <c r="P237" s="222"/>
    </row>
    <row r="238" ht="15.75" customHeight="1">
      <c r="A238" s="219"/>
      <c r="B238" s="219"/>
      <c r="C238" s="219"/>
      <c r="D238" s="219"/>
      <c r="E238" s="219"/>
      <c r="F238" s="219"/>
      <c r="G238" s="219"/>
      <c r="H238" s="219"/>
      <c r="I238" s="219"/>
      <c r="J238" s="219"/>
      <c r="K238" s="219"/>
      <c r="L238" s="220"/>
      <c r="M238" s="221"/>
      <c r="N238" s="221"/>
      <c r="O238" s="219"/>
      <c r="P238" s="219"/>
    </row>
    <row r="239" ht="15.75" customHeight="1">
      <c r="A239" s="222"/>
      <c r="B239" s="222"/>
      <c r="C239" s="222"/>
      <c r="D239" s="222"/>
      <c r="E239" s="222"/>
      <c r="F239" s="222"/>
      <c r="G239" s="222"/>
      <c r="H239" s="222"/>
      <c r="I239" s="222"/>
      <c r="J239" s="222"/>
      <c r="K239" s="222"/>
      <c r="L239" s="223"/>
      <c r="M239" s="224"/>
      <c r="N239" s="224"/>
      <c r="O239" s="222"/>
      <c r="P239" s="222"/>
    </row>
    <row r="240" ht="15.75" customHeight="1">
      <c r="A240" s="219"/>
      <c r="B240" s="219"/>
      <c r="C240" s="219"/>
      <c r="D240" s="219"/>
      <c r="E240" s="219"/>
      <c r="F240" s="219"/>
      <c r="G240" s="219"/>
      <c r="H240" s="219"/>
      <c r="I240" s="219"/>
      <c r="J240" s="219"/>
      <c r="K240" s="219"/>
      <c r="L240" s="220"/>
      <c r="M240" s="221"/>
      <c r="N240" s="221"/>
      <c r="O240" s="219"/>
      <c r="P240" s="219"/>
    </row>
    <row r="241" ht="15.75" customHeight="1">
      <c r="A241" s="222"/>
      <c r="B241" s="222"/>
      <c r="C241" s="222"/>
      <c r="D241" s="222"/>
      <c r="E241" s="222"/>
      <c r="F241" s="222"/>
      <c r="G241" s="222"/>
      <c r="H241" s="222"/>
      <c r="I241" s="222"/>
      <c r="J241" s="222"/>
      <c r="K241" s="222"/>
      <c r="L241" s="223"/>
      <c r="M241" s="224"/>
      <c r="N241" s="224"/>
      <c r="O241" s="222"/>
      <c r="P241" s="222"/>
    </row>
    <row r="242" ht="15.75" customHeight="1">
      <c r="A242" s="219"/>
      <c r="B242" s="219"/>
      <c r="C242" s="219"/>
      <c r="D242" s="219"/>
      <c r="E242" s="219"/>
      <c r="F242" s="219"/>
      <c r="G242" s="219"/>
      <c r="H242" s="219"/>
      <c r="I242" s="219"/>
      <c r="J242" s="219"/>
      <c r="K242" s="219"/>
      <c r="L242" s="220"/>
      <c r="M242" s="221"/>
      <c r="N242" s="221"/>
      <c r="O242" s="219"/>
      <c r="P242" s="219"/>
    </row>
    <row r="243" ht="15.75" customHeight="1">
      <c r="A243" s="222"/>
      <c r="B243" s="222"/>
      <c r="C243" s="222"/>
      <c r="D243" s="222"/>
      <c r="E243" s="222"/>
      <c r="F243" s="222"/>
      <c r="G243" s="222"/>
      <c r="H243" s="222"/>
      <c r="I243" s="222"/>
      <c r="J243" s="222"/>
      <c r="K243" s="222"/>
      <c r="L243" s="223"/>
      <c r="M243" s="224"/>
      <c r="N243" s="224"/>
      <c r="O243" s="222"/>
      <c r="P243" s="222"/>
    </row>
    <row r="244" ht="15.75" customHeight="1">
      <c r="A244" s="219"/>
      <c r="B244" s="219"/>
      <c r="C244" s="219"/>
      <c r="D244" s="219"/>
      <c r="E244" s="219"/>
      <c r="F244" s="219"/>
      <c r="G244" s="219"/>
      <c r="H244" s="219"/>
      <c r="I244" s="219"/>
      <c r="J244" s="219"/>
      <c r="K244" s="219"/>
      <c r="L244" s="220"/>
      <c r="M244" s="221"/>
      <c r="N244" s="221"/>
      <c r="O244" s="219"/>
      <c r="P244" s="219"/>
    </row>
    <row r="245" ht="15.75" customHeight="1">
      <c r="A245" s="222"/>
      <c r="B245" s="222"/>
      <c r="C245" s="222"/>
      <c r="D245" s="222"/>
      <c r="E245" s="222"/>
      <c r="F245" s="222"/>
      <c r="G245" s="222"/>
      <c r="H245" s="222"/>
      <c r="I245" s="222"/>
      <c r="J245" s="222"/>
      <c r="K245" s="222"/>
      <c r="L245" s="223"/>
      <c r="M245" s="224"/>
      <c r="N245" s="224"/>
      <c r="O245" s="222"/>
      <c r="P245" s="222"/>
    </row>
    <row r="246" ht="15.75" customHeight="1">
      <c r="A246" s="219"/>
      <c r="B246" s="219"/>
      <c r="C246" s="219"/>
      <c r="D246" s="219"/>
      <c r="E246" s="219"/>
      <c r="F246" s="219"/>
      <c r="G246" s="219"/>
      <c r="H246" s="219"/>
      <c r="I246" s="219"/>
      <c r="J246" s="219"/>
      <c r="K246" s="219"/>
      <c r="L246" s="220"/>
      <c r="M246" s="221"/>
      <c r="N246" s="221"/>
      <c r="O246" s="219"/>
      <c r="P246" s="219"/>
    </row>
    <row r="247" ht="15.75" customHeight="1">
      <c r="A247" s="222"/>
      <c r="B247" s="222"/>
      <c r="C247" s="222"/>
      <c r="D247" s="222"/>
      <c r="E247" s="222"/>
      <c r="F247" s="222"/>
      <c r="G247" s="222"/>
      <c r="H247" s="222"/>
      <c r="I247" s="222"/>
      <c r="J247" s="222"/>
      <c r="K247" s="222"/>
      <c r="L247" s="223"/>
      <c r="M247" s="224"/>
      <c r="N247" s="224"/>
      <c r="O247" s="222"/>
      <c r="P247" s="222"/>
    </row>
    <row r="248" ht="15.75" customHeight="1">
      <c r="A248" s="219"/>
      <c r="B248" s="219"/>
      <c r="C248" s="219"/>
      <c r="D248" s="219"/>
      <c r="E248" s="219"/>
      <c r="F248" s="219"/>
      <c r="G248" s="219"/>
      <c r="H248" s="219"/>
      <c r="I248" s="219"/>
      <c r="J248" s="219"/>
      <c r="K248" s="219"/>
      <c r="L248" s="220"/>
      <c r="M248" s="221"/>
      <c r="N248" s="221"/>
      <c r="O248" s="219"/>
      <c r="P248" s="219"/>
    </row>
    <row r="249" ht="15.75" customHeight="1">
      <c r="A249" s="222"/>
      <c r="B249" s="222"/>
      <c r="C249" s="222"/>
      <c r="D249" s="222"/>
      <c r="E249" s="222"/>
      <c r="F249" s="222"/>
      <c r="G249" s="222"/>
      <c r="H249" s="222"/>
      <c r="I249" s="222"/>
      <c r="J249" s="222"/>
      <c r="K249" s="222"/>
      <c r="L249" s="223"/>
      <c r="M249" s="224"/>
      <c r="N249" s="224"/>
      <c r="O249" s="222"/>
      <c r="P249" s="222"/>
    </row>
    <row r="250" ht="15.75" customHeight="1">
      <c r="A250" s="219"/>
      <c r="B250" s="219"/>
      <c r="C250" s="219"/>
      <c r="D250" s="219"/>
      <c r="E250" s="219"/>
      <c r="F250" s="219"/>
      <c r="G250" s="219"/>
      <c r="H250" s="219"/>
      <c r="I250" s="219"/>
      <c r="J250" s="219"/>
      <c r="K250" s="219"/>
      <c r="L250" s="220"/>
      <c r="M250" s="221"/>
      <c r="N250" s="221"/>
      <c r="O250" s="219"/>
      <c r="P250" s="219"/>
    </row>
    <row r="251" ht="15.75" customHeight="1">
      <c r="A251" s="222"/>
      <c r="B251" s="222"/>
      <c r="C251" s="222"/>
      <c r="D251" s="222"/>
      <c r="E251" s="222"/>
      <c r="F251" s="222"/>
      <c r="G251" s="222"/>
      <c r="H251" s="222"/>
      <c r="I251" s="222"/>
      <c r="J251" s="222"/>
      <c r="K251" s="222"/>
      <c r="L251" s="223"/>
      <c r="M251" s="224"/>
      <c r="N251" s="224"/>
      <c r="O251" s="222"/>
      <c r="P251" s="222"/>
    </row>
    <row r="252" ht="15.75" customHeight="1">
      <c r="A252" s="219"/>
      <c r="B252" s="219"/>
      <c r="C252" s="219"/>
      <c r="D252" s="219"/>
      <c r="E252" s="219"/>
      <c r="F252" s="219"/>
      <c r="G252" s="219"/>
      <c r="H252" s="219"/>
      <c r="I252" s="219"/>
      <c r="J252" s="219"/>
      <c r="K252" s="219"/>
      <c r="L252" s="220"/>
      <c r="M252" s="221"/>
      <c r="N252" s="221"/>
      <c r="O252" s="219"/>
      <c r="P252" s="219"/>
    </row>
    <row r="253" ht="15.75" customHeight="1">
      <c r="A253" s="222"/>
      <c r="B253" s="222"/>
      <c r="C253" s="222"/>
      <c r="D253" s="222"/>
      <c r="E253" s="222"/>
      <c r="F253" s="222"/>
      <c r="G253" s="222"/>
      <c r="H253" s="222"/>
      <c r="I253" s="222"/>
      <c r="J253" s="222"/>
      <c r="K253" s="222"/>
      <c r="L253" s="223"/>
      <c r="M253" s="224"/>
      <c r="N253" s="224"/>
      <c r="O253" s="222"/>
      <c r="P253" s="222"/>
    </row>
    <row r="254" ht="15.75" customHeight="1">
      <c r="A254" s="219"/>
      <c r="B254" s="219"/>
      <c r="C254" s="219"/>
      <c r="D254" s="219"/>
      <c r="E254" s="219"/>
      <c r="F254" s="219"/>
      <c r="G254" s="219"/>
      <c r="H254" s="219"/>
      <c r="I254" s="219"/>
      <c r="J254" s="219"/>
      <c r="K254" s="219"/>
      <c r="L254" s="220"/>
      <c r="M254" s="221"/>
      <c r="N254" s="221"/>
      <c r="O254" s="219"/>
      <c r="P254" s="219"/>
    </row>
    <row r="255" ht="15.75" customHeight="1">
      <c r="A255" s="222"/>
      <c r="B255" s="222"/>
      <c r="C255" s="222"/>
      <c r="D255" s="222"/>
      <c r="E255" s="222"/>
      <c r="F255" s="222"/>
      <c r="G255" s="222"/>
      <c r="H255" s="222"/>
      <c r="I255" s="222"/>
      <c r="J255" s="222"/>
      <c r="K255" s="222"/>
      <c r="L255" s="223"/>
      <c r="M255" s="224"/>
      <c r="N255" s="224"/>
      <c r="O255" s="222"/>
      <c r="P255" s="222"/>
    </row>
    <row r="256" ht="15.75" customHeight="1">
      <c r="A256" s="219"/>
      <c r="B256" s="219"/>
      <c r="C256" s="219"/>
      <c r="D256" s="219"/>
      <c r="E256" s="219"/>
      <c r="F256" s="219"/>
      <c r="G256" s="219"/>
      <c r="H256" s="219"/>
      <c r="I256" s="219"/>
      <c r="J256" s="219"/>
      <c r="K256" s="219"/>
      <c r="L256" s="220"/>
      <c r="M256" s="221"/>
      <c r="N256" s="221"/>
      <c r="O256" s="219"/>
      <c r="P256" s="219"/>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56">
    <filterColumn colId="15">
      <filters blank="1"/>
    </filterColumn>
  </autoFilter>
  <conditionalFormatting sqref="K1:K1000">
    <cfRule type="cellIs" dxfId="5" priority="1" operator="equal">
      <formula>"H"</formula>
    </cfRule>
  </conditionalFormatting>
  <conditionalFormatting sqref="K1:K1000">
    <cfRule type="cellIs" dxfId="6" priority="2" operator="equal">
      <formula>"M"</formula>
    </cfRule>
  </conditionalFormatting>
  <conditionalFormatting sqref="K1:K1000">
    <cfRule type="cellIs" dxfId="7" priority="3" operator="equal">
      <formula>"L"</formula>
    </cfRule>
  </conditionalFormatting>
  <conditionalFormatting sqref="K1:K1000">
    <cfRule type="cellIs" dxfId="8" priority="4" operator="equal">
      <formula>"VH"</formula>
    </cfRule>
  </conditionalFormatting>
  <conditionalFormatting sqref="K1:K1000">
    <cfRule type="cellIs" dxfId="9" priority="5" operator="equal">
      <formula>"VL"</formula>
    </cfRule>
  </conditionalFormatting>
  <hyperlinks>
    <hyperlink r:id="rId1" location="note_5150" ref="C4"/>
    <hyperlink r:id="rId2" ref="C8"/>
    <hyperlink r:id="rId3" ref="C9"/>
    <hyperlink r:id="rId4" ref="C14"/>
    <hyperlink r:id="rId5" ref="C15"/>
    <hyperlink r:id="rId6" ref="C16"/>
    <hyperlink r:id="rId7" ref="C19"/>
    <hyperlink r:id="rId8" location="gid=1146213481" ref="F31"/>
    <hyperlink r:id="rId9" ref="E34"/>
    <hyperlink r:id="rId10" location="gid=592304673&amp;range=B1" ref="F39"/>
    <hyperlink r:id="rId11" ref="G39"/>
    <hyperlink r:id="rId12" location="gid=132496499&amp;range=A1" ref="F43"/>
    <hyperlink r:id="rId13" location="gid=2081971423&amp;range=B1" ref="F48"/>
    <hyperlink r:id="rId14" ref="G48"/>
    <hyperlink r:id="rId15" location="gid=1679836541&amp;range=AE16" ref="F49"/>
  </hyperlinks>
  <drawing r:id="rId16"/>
</worksheet>
</file>